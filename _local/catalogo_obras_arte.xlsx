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00.projects.0\magna\_local\"/>
    </mc:Choice>
  </mc:AlternateContent>
  <xr:revisionPtr revIDLastSave="0" documentId="13_ncr:1_{2C403DD1-59F6-46F9-8305-720791594942}" xr6:coauthVersionLast="36" xr6:coauthVersionMax="36" xr10:uidLastSave="{00000000-0000-0000-0000-000000000000}"/>
  <bookViews>
    <workbookView xWindow="3420" yWindow="500" windowWidth="24260" windowHeight="16620" xr2:uid="{00000000-000D-0000-FFFF-FFFF00000000}"/>
  </bookViews>
  <sheets>
    <sheet name="Catálogo de Obras" sheetId="1" r:id="rId1"/>
  </sheets>
  <definedNames>
    <definedName name="_xlnm._FilterDatabase" localSheetId="0" hidden="1">'Catálogo de Obras'!$A$5:$I$17</definedName>
  </definedNames>
  <calcPr calcId="191029"/>
</workbook>
</file>

<file path=xl/calcChain.xml><?xml version="1.0" encoding="utf-8"?>
<calcChain xmlns="http://schemas.openxmlformats.org/spreadsheetml/2006/main">
  <c r="Q20" i="1" l="1"/>
  <c r="O20" i="1"/>
  <c r="M20" i="1"/>
  <c r="K22" i="1"/>
  <c r="J21" i="1"/>
  <c r="F22" i="1" l="1"/>
  <c r="F20" i="1"/>
  <c r="F21" i="1"/>
  <c r="E6" i="1"/>
  <c r="D6" i="1"/>
  <c r="F10" i="1" l="1"/>
  <c r="J10" i="1" s="1"/>
  <c r="F11" i="1"/>
  <c r="J11" i="1" s="1"/>
  <c r="F12" i="1"/>
  <c r="J12" i="1" s="1"/>
  <c r="F13" i="1"/>
  <c r="J13" i="1" s="1"/>
  <c r="F15" i="1"/>
  <c r="J15" i="1" s="1"/>
  <c r="F16" i="1"/>
  <c r="J16" i="1" s="1"/>
  <c r="F17" i="1"/>
  <c r="J17" i="1" s="1"/>
  <c r="F18" i="1"/>
  <c r="J18" i="1" s="1"/>
  <c r="F19" i="1"/>
  <c r="J19" i="1" s="1"/>
  <c r="F9" i="1"/>
  <c r="J9" i="1" s="1"/>
  <c r="F8" i="1"/>
  <c r="J8" i="1" s="1"/>
  <c r="F7" i="1"/>
  <c r="J7" i="1" s="1"/>
  <c r="F6" i="1" l="1"/>
  <c r="M7" i="1"/>
  <c r="O7" i="1"/>
  <c r="M8" i="1"/>
  <c r="O8" i="1"/>
  <c r="Q8" i="1" s="1"/>
  <c r="M9" i="1"/>
  <c r="O9" i="1"/>
  <c r="Q9" i="1" s="1"/>
  <c r="M10" i="1"/>
  <c r="O10" i="1"/>
  <c r="Q10" i="1" s="1"/>
  <c r="M11" i="1"/>
  <c r="O11" i="1"/>
  <c r="Q11" i="1"/>
  <c r="O12" i="1"/>
  <c r="Q12" i="1" s="1"/>
  <c r="M12" i="1"/>
  <c r="M18" i="1"/>
  <c r="O18" i="1"/>
  <c r="Q18" i="1" s="1"/>
  <c r="M19" i="1"/>
  <c r="O19" i="1"/>
  <c r="Q19" i="1" s="1"/>
  <c r="M21" i="1"/>
  <c r="O21" i="1"/>
  <c r="Q21" i="1" s="1"/>
  <c r="M23" i="1"/>
  <c r="O23" i="1"/>
  <c r="Q23" i="1" s="1"/>
  <c r="M24" i="1"/>
  <c r="O24" i="1"/>
  <c r="Q24" i="1" s="1"/>
  <c r="M25" i="1"/>
  <c r="O25" i="1"/>
  <c r="Q25" i="1" s="1"/>
  <c r="M26" i="1"/>
  <c r="O26" i="1"/>
  <c r="Q26" i="1" s="1"/>
  <c r="M27" i="1"/>
  <c r="O27" i="1"/>
  <c r="Q27" i="1" s="1"/>
  <c r="M28" i="1"/>
  <c r="O28" i="1"/>
  <c r="Q28" i="1" s="1"/>
  <c r="M29" i="1"/>
  <c r="O29" i="1"/>
  <c r="Q29" i="1" s="1"/>
  <c r="M30" i="1"/>
  <c r="O30" i="1"/>
  <c r="Q30" i="1" s="1"/>
  <c r="M31" i="1"/>
  <c r="O31" i="1"/>
  <c r="Q31" i="1" s="1"/>
  <c r="M32" i="1"/>
  <c r="O32" i="1"/>
  <c r="Q32" i="1" s="1"/>
  <c r="M33" i="1"/>
  <c r="O33" i="1"/>
  <c r="Q33" i="1" s="1"/>
  <c r="M34" i="1"/>
  <c r="O34" i="1"/>
  <c r="Q34" i="1" s="1"/>
  <c r="M35" i="1"/>
  <c r="O35" i="1"/>
  <c r="Q35" i="1" s="1"/>
  <c r="M36" i="1"/>
  <c r="O36" i="1"/>
  <c r="Q36" i="1" s="1"/>
  <c r="M37" i="1"/>
  <c r="O37" i="1"/>
  <c r="Q37" i="1" s="1"/>
  <c r="M38" i="1"/>
  <c r="O38" i="1"/>
  <c r="Q38" i="1" s="1"/>
  <c r="M39" i="1"/>
  <c r="O39" i="1"/>
  <c r="Q39" i="1" s="1"/>
  <c r="M40" i="1"/>
  <c r="O40" i="1"/>
  <c r="Q40" i="1" s="1"/>
  <c r="M41" i="1"/>
  <c r="O41" i="1"/>
  <c r="Q41" i="1" s="1"/>
  <c r="M42" i="1"/>
  <c r="O42" i="1"/>
  <c r="Q42" i="1" s="1"/>
  <c r="M43" i="1"/>
  <c r="O43" i="1"/>
  <c r="Q43" i="1" s="1"/>
  <c r="M44" i="1"/>
  <c r="O44" i="1"/>
  <c r="Q44" i="1" s="1"/>
  <c r="M45" i="1"/>
  <c r="O45" i="1"/>
  <c r="Q45" i="1" s="1"/>
  <c r="M46" i="1"/>
  <c r="O46" i="1"/>
  <c r="Q46" i="1" s="1"/>
  <c r="M47" i="1"/>
  <c r="O47" i="1"/>
  <c r="Q47" i="1" s="1"/>
  <c r="M48" i="1"/>
  <c r="O48" i="1"/>
  <c r="Q48" i="1" s="1"/>
  <c r="M49" i="1"/>
  <c r="O49" i="1"/>
  <c r="Q49" i="1" s="1"/>
  <c r="M50" i="1"/>
  <c r="O50" i="1"/>
  <c r="Q50" i="1" s="1"/>
  <c r="M51" i="1"/>
  <c r="O51" i="1"/>
  <c r="Q51" i="1" s="1"/>
  <c r="M52" i="1"/>
  <c r="O52" i="1"/>
  <c r="Q52" i="1" s="1"/>
  <c r="M53" i="1"/>
  <c r="O53" i="1"/>
  <c r="Q53" i="1" s="1"/>
  <c r="M54" i="1"/>
  <c r="O54" i="1"/>
  <c r="Q54" i="1" s="1"/>
  <c r="M55" i="1"/>
  <c r="O55" i="1"/>
  <c r="Q55" i="1" s="1"/>
  <c r="M56" i="1"/>
  <c r="O56" i="1"/>
  <c r="Q56" i="1" s="1"/>
  <c r="M57" i="1"/>
  <c r="O57" i="1"/>
  <c r="Q57" i="1" s="1"/>
  <c r="M58" i="1"/>
  <c r="O58" i="1"/>
  <c r="Q58" i="1" s="1"/>
  <c r="M59" i="1"/>
  <c r="O59" i="1"/>
  <c r="Q59" i="1" s="1"/>
  <c r="M60" i="1"/>
  <c r="O60" i="1"/>
  <c r="Q60" i="1" s="1"/>
  <c r="M61" i="1"/>
  <c r="O61" i="1"/>
  <c r="Q61" i="1" s="1"/>
  <c r="M62" i="1"/>
  <c r="O62" i="1"/>
  <c r="Q62" i="1" s="1"/>
  <c r="M63" i="1"/>
  <c r="O63" i="1"/>
  <c r="Q63" i="1" s="1"/>
  <c r="M64" i="1"/>
  <c r="O64" i="1"/>
  <c r="Q64" i="1" s="1"/>
  <c r="M65" i="1"/>
  <c r="O65" i="1"/>
  <c r="Q65" i="1" s="1"/>
  <c r="M66" i="1"/>
  <c r="O66" i="1"/>
  <c r="Q66" i="1" s="1"/>
  <c r="M67" i="1"/>
  <c r="O67" i="1"/>
  <c r="Q67" i="1" s="1"/>
  <c r="M68" i="1"/>
  <c r="O68" i="1"/>
  <c r="Q68" i="1" s="1"/>
  <c r="M69" i="1"/>
  <c r="O69" i="1"/>
  <c r="Q69" i="1" s="1"/>
  <c r="M70" i="1"/>
  <c r="O70" i="1"/>
  <c r="Q70" i="1" s="1"/>
  <c r="M71" i="1"/>
  <c r="O71" i="1"/>
  <c r="Q71" i="1" s="1"/>
  <c r="M72" i="1"/>
  <c r="O72" i="1"/>
  <c r="Q72" i="1" s="1"/>
  <c r="M73" i="1"/>
  <c r="O73" i="1"/>
  <c r="Q73" i="1"/>
  <c r="M74" i="1"/>
  <c r="O74" i="1"/>
  <c r="Q74" i="1" s="1"/>
  <c r="M75" i="1"/>
  <c r="O75" i="1"/>
  <c r="Q75" i="1" s="1"/>
  <c r="M76" i="1"/>
  <c r="O76" i="1"/>
  <c r="Q76" i="1" s="1"/>
  <c r="M77" i="1"/>
  <c r="O77" i="1"/>
  <c r="Q77" i="1" s="1"/>
  <c r="M78" i="1"/>
  <c r="O78" i="1"/>
  <c r="Q78" i="1" s="1"/>
  <c r="M79" i="1"/>
  <c r="O79" i="1"/>
  <c r="Q79" i="1" s="1"/>
  <c r="M80" i="1"/>
  <c r="O80" i="1"/>
  <c r="Q80" i="1" s="1"/>
  <c r="M81" i="1"/>
  <c r="O81" i="1"/>
  <c r="Q81" i="1" s="1"/>
  <c r="M82" i="1"/>
  <c r="O82" i="1"/>
  <c r="Q82" i="1" s="1"/>
  <c r="M83" i="1"/>
  <c r="O83" i="1"/>
  <c r="Q83" i="1" s="1"/>
  <c r="M84" i="1"/>
  <c r="O84" i="1"/>
  <c r="Q84" i="1" s="1"/>
  <c r="M85" i="1"/>
  <c r="O85" i="1"/>
  <c r="Q85" i="1" s="1"/>
  <c r="M86" i="1"/>
  <c r="O86" i="1"/>
  <c r="Q86" i="1" s="1"/>
  <c r="M87" i="1"/>
  <c r="O87" i="1"/>
  <c r="Q87" i="1" s="1"/>
  <c r="M88" i="1"/>
  <c r="O88" i="1"/>
  <c r="Q88" i="1" s="1"/>
  <c r="M89" i="1"/>
  <c r="O89" i="1"/>
  <c r="Q89" i="1" s="1"/>
  <c r="M90" i="1"/>
  <c r="O90" i="1"/>
  <c r="Q90" i="1" s="1"/>
  <c r="M91" i="1"/>
  <c r="O91" i="1"/>
  <c r="Q91" i="1" s="1"/>
  <c r="M92" i="1"/>
  <c r="O92" i="1"/>
  <c r="Q92" i="1" s="1"/>
  <c r="M93" i="1"/>
  <c r="O93" i="1"/>
  <c r="Q93" i="1" s="1"/>
  <c r="M94" i="1"/>
  <c r="O94" i="1"/>
  <c r="Q94" i="1" s="1"/>
  <c r="M95" i="1"/>
  <c r="O95" i="1"/>
  <c r="Q95" i="1" s="1"/>
  <c r="M96" i="1"/>
  <c r="O96" i="1"/>
  <c r="Q96" i="1" s="1"/>
  <c r="M97" i="1"/>
  <c r="O97" i="1"/>
  <c r="Q97" i="1" s="1"/>
  <c r="M98" i="1"/>
  <c r="O98" i="1"/>
  <c r="Q98" i="1" s="1"/>
  <c r="M99" i="1"/>
  <c r="O99" i="1"/>
  <c r="Q99" i="1" s="1"/>
  <c r="M100" i="1"/>
  <c r="O100" i="1"/>
  <c r="Q100" i="1" s="1"/>
  <c r="M101" i="1"/>
  <c r="O101" i="1"/>
  <c r="Q101" i="1" s="1"/>
  <c r="M102" i="1"/>
  <c r="O102" i="1"/>
  <c r="Q102" i="1" s="1"/>
  <c r="M103" i="1"/>
  <c r="O103" i="1"/>
  <c r="Q103" i="1" s="1"/>
  <c r="M104" i="1"/>
  <c r="O104" i="1"/>
  <c r="Q104" i="1" s="1"/>
  <c r="M105" i="1"/>
  <c r="O105" i="1"/>
  <c r="Q105" i="1" s="1"/>
  <c r="M106" i="1"/>
  <c r="O106" i="1"/>
  <c r="Q106" i="1" s="1"/>
  <c r="M107" i="1"/>
  <c r="O107" i="1"/>
  <c r="Q107" i="1" s="1"/>
  <c r="M108" i="1"/>
  <c r="O108" i="1"/>
  <c r="Q108" i="1" s="1"/>
  <c r="M109" i="1"/>
  <c r="O109" i="1"/>
  <c r="Q109" i="1"/>
  <c r="M110" i="1"/>
  <c r="O110" i="1"/>
  <c r="Q110" i="1" s="1"/>
  <c r="M111" i="1"/>
  <c r="O111" i="1"/>
  <c r="Q111" i="1" s="1"/>
  <c r="M112" i="1"/>
  <c r="O112" i="1"/>
  <c r="Q112" i="1" s="1"/>
  <c r="M113" i="1"/>
  <c r="O113" i="1"/>
  <c r="Q113" i="1" s="1"/>
  <c r="M114" i="1"/>
  <c r="O114" i="1"/>
  <c r="Q114" i="1" s="1"/>
  <c r="M115" i="1"/>
  <c r="O115" i="1"/>
  <c r="Q115" i="1" s="1"/>
  <c r="M116" i="1"/>
  <c r="O116" i="1"/>
  <c r="Q116" i="1" s="1"/>
  <c r="M117" i="1"/>
  <c r="O117" i="1"/>
  <c r="Q117" i="1" s="1"/>
  <c r="M118" i="1"/>
  <c r="O118" i="1"/>
  <c r="Q118" i="1" s="1"/>
  <c r="M119" i="1"/>
  <c r="O119" i="1"/>
  <c r="Q119" i="1" s="1"/>
  <c r="M120" i="1"/>
  <c r="O120" i="1"/>
  <c r="Q120" i="1"/>
  <c r="M121" i="1"/>
  <c r="O121" i="1"/>
  <c r="Q121" i="1" s="1"/>
  <c r="M122" i="1"/>
  <c r="O122" i="1"/>
  <c r="Q122" i="1" s="1"/>
  <c r="M123" i="1"/>
  <c r="O123" i="1"/>
  <c r="Q123" i="1" s="1"/>
  <c r="M124" i="1"/>
  <c r="O124" i="1"/>
  <c r="Q124" i="1" s="1"/>
  <c r="M125" i="1"/>
  <c r="O125" i="1"/>
  <c r="Q125" i="1" s="1"/>
  <c r="M126" i="1"/>
  <c r="O126" i="1"/>
  <c r="Q126" i="1" s="1"/>
  <c r="M127" i="1"/>
  <c r="O127" i="1"/>
  <c r="Q127" i="1" s="1"/>
  <c r="M128" i="1"/>
  <c r="O128" i="1"/>
  <c r="Q128" i="1" s="1"/>
  <c r="M129" i="1"/>
  <c r="O129" i="1"/>
  <c r="Q129" i="1" s="1"/>
  <c r="M130" i="1"/>
  <c r="O130" i="1"/>
  <c r="Q130" i="1" s="1"/>
  <c r="M131" i="1"/>
  <c r="O131" i="1"/>
  <c r="Q131" i="1" s="1"/>
  <c r="M132" i="1"/>
  <c r="O132" i="1"/>
  <c r="Q132" i="1" s="1"/>
  <c r="M133" i="1"/>
  <c r="O133" i="1"/>
  <c r="Q133" i="1" s="1"/>
  <c r="M134" i="1"/>
  <c r="O134" i="1"/>
  <c r="Q134" i="1" s="1"/>
  <c r="M135" i="1"/>
  <c r="O135" i="1"/>
  <c r="Q135" i="1" s="1"/>
  <c r="M136" i="1"/>
  <c r="O136" i="1"/>
  <c r="Q136" i="1" s="1"/>
  <c r="M137" i="1"/>
  <c r="O137" i="1"/>
  <c r="Q137" i="1" s="1"/>
  <c r="M138" i="1"/>
  <c r="O138" i="1"/>
  <c r="Q138" i="1" s="1"/>
  <c r="M139" i="1"/>
  <c r="O139" i="1"/>
  <c r="Q139" i="1" s="1"/>
  <c r="M140" i="1"/>
  <c r="O140" i="1"/>
  <c r="Q140" i="1" s="1"/>
  <c r="M141" i="1"/>
  <c r="O141" i="1"/>
  <c r="Q141" i="1"/>
  <c r="M142" i="1"/>
  <c r="O142" i="1"/>
  <c r="Q142" i="1" s="1"/>
  <c r="M143" i="1"/>
  <c r="O143" i="1"/>
  <c r="Q143" i="1" s="1"/>
  <c r="M144" i="1"/>
  <c r="O144" i="1"/>
  <c r="Q144" i="1" s="1"/>
  <c r="M145" i="1"/>
  <c r="O145" i="1"/>
  <c r="Q145" i="1" s="1"/>
  <c r="M146" i="1"/>
  <c r="O146" i="1"/>
  <c r="Q146" i="1" s="1"/>
  <c r="M147" i="1"/>
  <c r="O147" i="1"/>
  <c r="Q147" i="1" s="1"/>
  <c r="M148" i="1"/>
  <c r="O148" i="1"/>
  <c r="Q148" i="1" s="1"/>
  <c r="M149" i="1"/>
  <c r="O149" i="1"/>
  <c r="Q149" i="1" s="1"/>
  <c r="M150" i="1"/>
  <c r="O150" i="1"/>
  <c r="Q150" i="1" s="1"/>
  <c r="M151" i="1"/>
  <c r="O151" i="1"/>
  <c r="Q151" i="1" s="1"/>
  <c r="M152" i="1"/>
  <c r="O152" i="1"/>
  <c r="Q152" i="1" s="1"/>
  <c r="M153" i="1"/>
  <c r="O153" i="1"/>
  <c r="Q153" i="1" s="1"/>
  <c r="M154" i="1"/>
  <c r="O154" i="1"/>
  <c r="Q154" i="1" s="1"/>
  <c r="M155" i="1"/>
  <c r="O155" i="1"/>
  <c r="Q155" i="1" s="1"/>
  <c r="M156" i="1"/>
  <c r="O156" i="1"/>
  <c r="Q156" i="1" s="1"/>
  <c r="M157" i="1"/>
  <c r="O157" i="1"/>
  <c r="Q157" i="1" s="1"/>
  <c r="M158" i="1"/>
  <c r="O158" i="1"/>
  <c r="Q158" i="1" s="1"/>
  <c r="M159" i="1"/>
  <c r="O159" i="1"/>
  <c r="Q159" i="1" s="1"/>
  <c r="M160" i="1"/>
  <c r="O160" i="1"/>
  <c r="Q160" i="1" s="1"/>
  <c r="M161" i="1"/>
  <c r="O161" i="1"/>
  <c r="Q161" i="1" s="1"/>
  <c r="M162" i="1"/>
  <c r="O162" i="1"/>
  <c r="Q162" i="1" s="1"/>
  <c r="M163" i="1"/>
  <c r="O163" i="1"/>
  <c r="Q163" i="1" s="1"/>
  <c r="M164" i="1"/>
  <c r="O164" i="1"/>
  <c r="Q164" i="1" s="1"/>
  <c r="M165" i="1"/>
  <c r="O165" i="1"/>
  <c r="Q165" i="1" s="1"/>
  <c r="M166" i="1"/>
  <c r="O166" i="1"/>
  <c r="Q166" i="1" s="1"/>
  <c r="M167" i="1"/>
  <c r="O167" i="1"/>
  <c r="Q167" i="1" s="1"/>
  <c r="M168" i="1"/>
  <c r="O168" i="1"/>
  <c r="Q168" i="1" s="1"/>
  <c r="M169" i="1"/>
  <c r="O169" i="1"/>
  <c r="Q169" i="1" s="1"/>
  <c r="M170" i="1"/>
  <c r="O170" i="1"/>
  <c r="Q170" i="1" s="1"/>
  <c r="M171" i="1"/>
  <c r="O171" i="1"/>
  <c r="Q171" i="1" s="1"/>
  <c r="M172" i="1"/>
  <c r="O172" i="1"/>
  <c r="Q172" i="1" s="1"/>
  <c r="M173" i="1"/>
  <c r="O173" i="1"/>
  <c r="Q173" i="1"/>
  <c r="M174" i="1"/>
  <c r="O174" i="1"/>
  <c r="Q174" i="1" s="1"/>
  <c r="M175" i="1"/>
  <c r="O175" i="1"/>
  <c r="Q175" i="1" s="1"/>
  <c r="M176" i="1"/>
  <c r="O176" i="1"/>
  <c r="Q176" i="1" s="1"/>
  <c r="M177" i="1"/>
  <c r="O177" i="1"/>
  <c r="Q177" i="1" s="1"/>
  <c r="M178" i="1"/>
  <c r="O178" i="1"/>
  <c r="Q178" i="1" s="1"/>
  <c r="M179" i="1"/>
  <c r="O179" i="1"/>
  <c r="Q179" i="1" s="1"/>
  <c r="M180" i="1"/>
  <c r="O180" i="1"/>
  <c r="Q180" i="1" s="1"/>
  <c r="M181" i="1"/>
  <c r="O181" i="1"/>
  <c r="Q181" i="1" s="1"/>
  <c r="M182" i="1"/>
  <c r="O182" i="1"/>
  <c r="Q182" i="1" s="1"/>
  <c r="M183" i="1"/>
  <c r="O183" i="1"/>
  <c r="Q183" i="1" s="1"/>
  <c r="M184" i="1"/>
  <c r="O184" i="1"/>
  <c r="Q184" i="1" s="1"/>
  <c r="M185" i="1"/>
  <c r="O185" i="1"/>
  <c r="Q185" i="1" s="1"/>
  <c r="M186" i="1"/>
  <c r="O186" i="1"/>
  <c r="Q186" i="1" s="1"/>
  <c r="M187" i="1"/>
  <c r="O187" i="1"/>
  <c r="Q187" i="1" s="1"/>
  <c r="M188" i="1"/>
  <c r="O188" i="1"/>
  <c r="Q188" i="1" s="1"/>
  <c r="M189" i="1"/>
  <c r="O189" i="1"/>
  <c r="Q189" i="1" s="1"/>
  <c r="M190" i="1"/>
  <c r="O190" i="1"/>
  <c r="Q190" i="1" s="1"/>
  <c r="M191" i="1"/>
  <c r="O191" i="1"/>
  <c r="Q191" i="1" s="1"/>
  <c r="M192" i="1"/>
  <c r="O192" i="1"/>
  <c r="Q192" i="1" s="1"/>
  <c r="M193" i="1"/>
  <c r="O193" i="1"/>
  <c r="Q193" i="1" s="1"/>
  <c r="M194" i="1"/>
  <c r="O194" i="1"/>
  <c r="Q194" i="1" s="1"/>
  <c r="M195" i="1"/>
  <c r="O195" i="1"/>
  <c r="Q195" i="1" s="1"/>
  <c r="M196" i="1"/>
  <c r="O196" i="1"/>
  <c r="Q196" i="1"/>
  <c r="M197" i="1"/>
  <c r="O197" i="1"/>
  <c r="Q197" i="1" s="1"/>
  <c r="M198" i="1"/>
  <c r="O198" i="1"/>
  <c r="Q198" i="1" s="1"/>
  <c r="M199" i="1"/>
  <c r="O199" i="1"/>
  <c r="Q199" i="1" s="1"/>
  <c r="M200" i="1"/>
  <c r="O200" i="1"/>
  <c r="Q200" i="1" s="1"/>
  <c r="M201" i="1"/>
  <c r="O201" i="1"/>
  <c r="Q201" i="1" s="1"/>
  <c r="M202" i="1"/>
  <c r="O202" i="1"/>
  <c r="Q202" i="1" s="1"/>
  <c r="M203" i="1"/>
  <c r="O203" i="1"/>
  <c r="Q203" i="1" s="1"/>
  <c r="M204" i="1"/>
  <c r="O204" i="1"/>
  <c r="Q204" i="1" s="1"/>
  <c r="M205" i="1"/>
  <c r="O205" i="1"/>
  <c r="Q205" i="1" s="1"/>
  <c r="M206" i="1"/>
  <c r="O206" i="1"/>
  <c r="Q206" i="1" s="1"/>
  <c r="M207" i="1"/>
  <c r="O207" i="1"/>
  <c r="Q207" i="1"/>
  <c r="M208" i="1"/>
  <c r="O208" i="1"/>
  <c r="Q208" i="1" s="1"/>
  <c r="M209" i="1"/>
  <c r="O209" i="1"/>
  <c r="Q209" i="1" s="1"/>
  <c r="M210" i="1"/>
  <c r="O210" i="1"/>
  <c r="Q210" i="1" s="1"/>
  <c r="M211" i="1"/>
  <c r="O211" i="1"/>
  <c r="Q211" i="1" s="1"/>
  <c r="M212" i="1"/>
  <c r="O212" i="1"/>
  <c r="Q212" i="1" s="1"/>
  <c r="M213" i="1"/>
  <c r="O213" i="1"/>
  <c r="Q213" i="1" s="1"/>
  <c r="M214" i="1"/>
  <c r="O214" i="1"/>
  <c r="Q214" i="1" s="1"/>
  <c r="M215" i="1"/>
  <c r="O215" i="1"/>
  <c r="Q215" i="1" s="1"/>
  <c r="M216" i="1"/>
  <c r="O216" i="1"/>
  <c r="Q216" i="1" s="1"/>
  <c r="M217" i="1"/>
  <c r="O217" i="1"/>
  <c r="Q217" i="1"/>
  <c r="M218" i="1"/>
  <c r="O218" i="1"/>
  <c r="Q218" i="1" s="1"/>
  <c r="M219" i="1"/>
  <c r="O219" i="1"/>
  <c r="Q219" i="1" s="1"/>
  <c r="M220" i="1"/>
  <c r="O220" i="1"/>
  <c r="Q220" i="1" s="1"/>
  <c r="M221" i="1"/>
  <c r="O221" i="1"/>
  <c r="Q221" i="1" s="1"/>
  <c r="M222" i="1"/>
  <c r="O222" i="1"/>
  <c r="Q222" i="1" s="1"/>
  <c r="M223" i="1"/>
  <c r="O223" i="1"/>
  <c r="Q223" i="1" s="1"/>
  <c r="M224" i="1"/>
  <c r="O224" i="1"/>
  <c r="Q224" i="1" s="1"/>
  <c r="M225" i="1"/>
  <c r="O225" i="1"/>
  <c r="Q225" i="1" s="1"/>
  <c r="M226" i="1"/>
  <c r="O226" i="1"/>
  <c r="Q226" i="1" s="1"/>
  <c r="M227" i="1"/>
  <c r="O227" i="1"/>
  <c r="Q227" i="1" s="1"/>
  <c r="M228" i="1"/>
  <c r="O228" i="1"/>
  <c r="Q228" i="1"/>
  <c r="M229" i="1"/>
  <c r="O229" i="1"/>
  <c r="Q229" i="1" s="1"/>
  <c r="M230" i="1"/>
  <c r="O230" i="1"/>
  <c r="Q230" i="1" s="1"/>
  <c r="M231" i="1"/>
  <c r="O231" i="1"/>
  <c r="Q231" i="1"/>
  <c r="M232" i="1"/>
  <c r="O232" i="1"/>
  <c r="Q232" i="1" s="1"/>
  <c r="M233" i="1"/>
  <c r="O233" i="1"/>
  <c r="Q233" i="1" s="1"/>
  <c r="M234" i="1"/>
  <c r="O234" i="1"/>
  <c r="Q234" i="1" s="1"/>
  <c r="M235" i="1"/>
  <c r="O235" i="1"/>
  <c r="Q235" i="1" s="1"/>
  <c r="M236" i="1"/>
  <c r="O236" i="1"/>
  <c r="Q236" i="1" s="1"/>
  <c r="M237" i="1"/>
  <c r="O237" i="1"/>
  <c r="Q237" i="1" s="1"/>
  <c r="M238" i="1"/>
  <c r="O238" i="1"/>
  <c r="Q238" i="1" s="1"/>
  <c r="M239" i="1"/>
  <c r="O239" i="1"/>
  <c r="Q239" i="1"/>
  <c r="M240" i="1"/>
  <c r="O240" i="1"/>
  <c r="Q240" i="1" s="1"/>
  <c r="M241" i="1"/>
  <c r="O241" i="1"/>
  <c r="Q241" i="1" s="1"/>
  <c r="M242" i="1"/>
  <c r="O242" i="1"/>
  <c r="Q242" i="1" s="1"/>
  <c r="M243" i="1"/>
  <c r="O243" i="1"/>
  <c r="Q243" i="1" s="1"/>
  <c r="M244" i="1"/>
  <c r="O244" i="1"/>
  <c r="Q244" i="1" s="1"/>
  <c r="M245" i="1"/>
  <c r="O245" i="1"/>
  <c r="Q245" i="1" s="1"/>
  <c r="M246" i="1"/>
  <c r="O246" i="1"/>
  <c r="Q246" i="1" s="1"/>
  <c r="M247" i="1"/>
  <c r="O247" i="1"/>
  <c r="Q247" i="1" s="1"/>
  <c r="M248" i="1"/>
  <c r="O248" i="1"/>
  <c r="Q248" i="1" s="1"/>
  <c r="M249" i="1"/>
  <c r="O249" i="1"/>
  <c r="Q249" i="1" s="1"/>
  <c r="M250" i="1"/>
  <c r="O250" i="1"/>
  <c r="Q250" i="1" s="1"/>
  <c r="M251" i="1"/>
  <c r="O251" i="1"/>
  <c r="Q251" i="1" s="1"/>
  <c r="M252" i="1"/>
  <c r="O252" i="1"/>
  <c r="Q252" i="1" s="1"/>
  <c r="M253" i="1"/>
  <c r="O253" i="1"/>
  <c r="Q253" i="1" s="1"/>
  <c r="M254" i="1"/>
  <c r="O254" i="1"/>
  <c r="Q254" i="1" s="1"/>
  <c r="M255" i="1"/>
  <c r="O255" i="1"/>
  <c r="Q255" i="1" s="1"/>
  <c r="M256" i="1"/>
  <c r="O256" i="1"/>
  <c r="Q256" i="1" s="1"/>
  <c r="M257" i="1"/>
  <c r="O257" i="1"/>
  <c r="Q257" i="1" s="1"/>
  <c r="M258" i="1"/>
  <c r="O258" i="1"/>
  <c r="Q258" i="1" s="1"/>
  <c r="M259" i="1"/>
  <c r="O259" i="1"/>
  <c r="Q259" i="1" s="1"/>
  <c r="M260" i="1"/>
  <c r="O260" i="1"/>
  <c r="Q260" i="1" s="1"/>
  <c r="M261" i="1"/>
  <c r="O261" i="1"/>
  <c r="Q261" i="1" s="1"/>
  <c r="M262" i="1"/>
  <c r="O262" i="1"/>
  <c r="Q262" i="1" s="1"/>
  <c r="M263" i="1"/>
  <c r="O263" i="1"/>
  <c r="Q263" i="1" s="1"/>
  <c r="M264" i="1"/>
  <c r="O264" i="1"/>
  <c r="Q264" i="1" s="1"/>
  <c r="M265" i="1"/>
  <c r="O265" i="1"/>
  <c r="Q265" i="1" s="1"/>
  <c r="M266" i="1"/>
  <c r="O266" i="1"/>
  <c r="Q266" i="1" s="1"/>
  <c r="M267" i="1"/>
  <c r="O267" i="1"/>
  <c r="Q267" i="1" s="1"/>
  <c r="M268" i="1"/>
  <c r="O268" i="1"/>
  <c r="Q268" i="1" s="1"/>
  <c r="M269" i="1"/>
  <c r="O269" i="1"/>
  <c r="Q269" i="1" s="1"/>
  <c r="M270" i="1"/>
  <c r="O270" i="1"/>
  <c r="Q270" i="1" s="1"/>
  <c r="M271" i="1"/>
  <c r="O271" i="1"/>
  <c r="Q271" i="1" s="1"/>
  <c r="M272" i="1"/>
  <c r="O272" i="1"/>
  <c r="Q272" i="1" s="1"/>
  <c r="M273" i="1"/>
  <c r="O273" i="1"/>
  <c r="Q273" i="1" s="1"/>
  <c r="M274" i="1"/>
  <c r="O274" i="1"/>
  <c r="Q274" i="1" s="1"/>
  <c r="M275" i="1"/>
  <c r="O275" i="1"/>
  <c r="Q275" i="1" s="1"/>
  <c r="M276" i="1"/>
  <c r="O276" i="1"/>
  <c r="Q276" i="1" s="1"/>
  <c r="M277" i="1"/>
  <c r="O277" i="1"/>
  <c r="Q277" i="1" s="1"/>
  <c r="M278" i="1"/>
  <c r="O278" i="1"/>
  <c r="Q278" i="1" s="1"/>
  <c r="M279" i="1"/>
  <c r="O279" i="1"/>
  <c r="Q279" i="1" s="1"/>
  <c r="M280" i="1"/>
  <c r="O280" i="1"/>
  <c r="Q280" i="1" s="1"/>
  <c r="M281" i="1"/>
  <c r="O281" i="1"/>
  <c r="Q281" i="1"/>
  <c r="M282" i="1"/>
  <c r="O282" i="1"/>
  <c r="Q282" i="1" s="1"/>
  <c r="M283" i="1"/>
  <c r="O283" i="1"/>
  <c r="Q283" i="1" s="1"/>
  <c r="M284" i="1"/>
  <c r="O284" i="1"/>
  <c r="Q284" i="1" s="1"/>
  <c r="M285" i="1"/>
  <c r="O285" i="1"/>
  <c r="Q285" i="1" s="1"/>
  <c r="M286" i="1"/>
  <c r="O286" i="1"/>
  <c r="Q286" i="1" s="1"/>
  <c r="M13" i="1"/>
  <c r="O13" i="1"/>
  <c r="Q13" i="1" s="1"/>
  <c r="M15" i="1"/>
  <c r="O15" i="1"/>
  <c r="Q15" i="1" s="1"/>
  <c r="M16" i="1"/>
  <c r="O16" i="1"/>
  <c r="Q16" i="1" s="1"/>
  <c r="O17" i="1"/>
  <c r="Q17" i="1" s="1"/>
  <c r="M17" i="1"/>
  <c r="Q7" i="1" l="1"/>
  <c r="J22" i="1" l="1"/>
  <c r="M22" i="1"/>
  <c r="O22" i="1"/>
  <c r="Q22" i="1" l="1"/>
  <c r="K6" i="1"/>
  <c r="J6" i="1" s="1"/>
  <c r="M6" i="1"/>
  <c r="O6" i="1" l="1"/>
  <c r="Q6" i="1"/>
</calcChain>
</file>

<file path=xl/sharedStrings.xml><?xml version="1.0" encoding="utf-8"?>
<sst xmlns="http://schemas.openxmlformats.org/spreadsheetml/2006/main" count="97" uniqueCount="68">
  <si>
    <t>Nº</t>
  </si>
  <si>
    <t>Nome da Obra</t>
  </si>
  <si>
    <t>Ano</t>
  </si>
  <si>
    <t>Técnica</t>
  </si>
  <si>
    <t>Descrição</t>
  </si>
  <si>
    <t>Disponível</t>
  </si>
  <si>
    <t>Sim</t>
  </si>
  <si>
    <t>O Choco</t>
  </si>
  <si>
    <t>A Figueirinha</t>
  </si>
  <si>
    <t>A Guarita</t>
  </si>
  <si>
    <t>O Futuro do Trabalho</t>
  </si>
  <si>
    <t>O Coral</t>
  </si>
  <si>
    <t>Mértola</t>
  </si>
  <si>
    <t>Mosaico I</t>
  </si>
  <si>
    <t>Mosaico II</t>
  </si>
  <si>
    <t>Tempo</t>
  </si>
  <si>
    <t>A Rainha</t>
  </si>
  <si>
    <t>Between neon colors and extravagant shapes, "O Choco"(The Cuddlefish) stands out — it's impossible not to notice. The main symbol of Setúbal navigates between salt and identity.</t>
  </si>
  <si>
    <t>Acrílico em tela</t>
  </si>
  <si>
    <t>A Figueirinha (The Little Fig Tree) evokes a certain unease, as it makes us try to understand what is actually being shown there. The intense colors and loose gestures suggest light, warmth and movement. The landscape moves between the real and the abstract, demanding time and attention. Mountains, sun and beach appear mixed, without clear boundaries, confusing the eye. Where is the sea? We don't need to know. It's not a literal representation of Figueirinha beach, but of how it is felt</t>
  </si>
  <si>
    <t>Neon colors and the Acrylique Pluie technique intensify the landscape of the Albarquel Fort, transforming it into a space that, for some, evokes the present and, for others, the past. With its organic lines and unpredictable colors, no one passes by the artwork without stopping. It captures the eye and provokes reflection on the relationship between the observer and what is observed. The solitary guardhouse gazes out at the infinite sea.</t>
  </si>
  <si>
    <t>The neon colors and the Acrylique Pluie technique evoke fascination, curiosity, and discomfort. In the work, humans and non-humans, with mechanical features, appear on the screen, being evaluated for a reason known only to those present, reflecting the unpredictable nature of the future of work. No one passes by it without stopping to look. It is an extravagant aesthetic that inevitably impacts and provokes.</t>
  </si>
  <si>
    <t>O Coral (The Coral) was born from an imaginary and extravagant dive. I wanted to feel the seabed before me. I threw color around as if spreading life, into that beautiful chaos that inhabits the corals. In the midst of all this, an octopus appeared. I didn't plan it—it simply emerged from the stain. I love when a painting decides what it wants to be. "The Coral" is about that—movement, color that breathes, and, obviously, unpredictability.</t>
  </si>
  <si>
    <t>Acrílico e óleo em tela</t>
  </si>
  <si>
    <t>It's archaeology in color: the past still pulsating. 'A Ânfora' ('The Amphora') was born from an imaginary excavation, preserving wine, travels, and memories."</t>
  </si>
  <si>
    <t>In this work, there is an encounter with time. The hourglass invites you to reflect: what color is your time?</t>
  </si>
  <si>
    <t>Inspired by the Portuguese azulejo tradition, thes Mosaic I reinvents a national symbol through movement, vibrant color, and joy. Here, I reinvent it through movement, vibrant color, and intensity. Each shape is a fragment of joy; each color, a celebration of the Portuguese soul.</t>
  </si>
  <si>
    <t>Inspired by the Portuguese azulejo tradition, thes Mosaic II reinvents a national symbol through movement, vibrant color, and joy. Here, I reinvent it through movement, vibrant color, and intensity. Each shape is a fragment of joy; each color, a celebration of the Portuguese soul.</t>
  </si>
  <si>
    <t>A Ânfora</t>
  </si>
  <si>
    <t>Original</t>
  </si>
  <si>
    <t>Digital Download</t>
  </si>
  <si>
    <t>xxx-original-live</t>
  </si>
  <si>
    <t>xxx-gallery-live</t>
  </si>
  <si>
    <t>xxx-collector-live</t>
  </si>
  <si>
    <t>xxx-digital-live</t>
  </si>
  <si>
    <t>choco-xxx-live</t>
  </si>
  <si>
    <t>figueirinha-xxx-live</t>
  </si>
  <si>
    <t>guarita-xxx-live</t>
  </si>
  <si>
    <t>trabalho-xxx-live</t>
  </si>
  <si>
    <t>coral-xxx-live</t>
  </si>
  <si>
    <t>anfora-xxx-live</t>
  </si>
  <si>
    <t>mosaico-xxx-live</t>
  </si>
  <si>
    <t>mertola-xxx-live</t>
  </si>
  <si>
    <t>rainha-xxx-live</t>
  </si>
  <si>
    <t>tempo-xxx-live</t>
  </si>
  <si>
    <t>Mente I</t>
  </si>
  <si>
    <t>Mente I faz parte de uma série que pretende dar forma ao pensamento.</t>
  </si>
  <si>
    <t>mente-xxx-live</t>
  </si>
  <si>
    <t>Print Fine Art - Limited Edition &amp; Certificate - Gallery Up to 70 x 100 cm</t>
  </si>
  <si>
    <t>Print Fine Art - Limited Edition &amp; Certificate - Collector Up to 50 x 70 cm</t>
  </si>
  <si>
    <t>Alcube</t>
  </si>
  <si>
    <t>I wanted to bring together two eras in this work: the Chapel of São Pedro de Alcube, dating back to the late 16th century, and today's colors, neon and vibrant, as if time itself could be painted. I painted it wrapped around a wine amphora, surrounded by sky, sea, and mountains. To me, there's more than faith here, there's landscape, both old and present at once.</t>
  </si>
  <si>
    <r>
      <t>€/cm</t>
    </r>
    <r>
      <rPr>
        <b/>
        <vertAlign val="superscript"/>
        <sz val="10"/>
        <color rgb="FFE0E0E0"/>
        <rFont val="Arial Narrow"/>
        <family val="2"/>
      </rPr>
      <t>2</t>
    </r>
  </si>
  <si>
    <r>
      <t>cm</t>
    </r>
    <r>
      <rPr>
        <b/>
        <vertAlign val="superscript"/>
        <sz val="10"/>
        <color rgb="FFE0E0E0"/>
        <rFont val="Arial Narrow"/>
        <family val="2"/>
      </rPr>
      <t>2</t>
    </r>
  </si>
  <si>
    <t>Altura (cm)</t>
  </si>
  <si>
    <t>Largura (cm)</t>
  </si>
  <si>
    <t>alcube-xxx-live</t>
  </si>
  <si>
    <r>
      <t xml:space="preserve">Here, Queen Isabel’s crown and mantle emerge in an unexpected way. Through the </t>
    </r>
    <r>
      <rPr>
        <i/>
        <sz val="10"/>
        <color theme="1"/>
        <rFont val="Arial Narrow"/>
        <family val="2"/>
      </rPr>
      <t>Acrylique Pluie</t>
    </r>
    <r>
      <rPr>
        <sz val="10"/>
        <color theme="1"/>
        <rFont val="Arial Narrow"/>
        <family val="2"/>
      </rPr>
      <t xml:space="preserve"> technique and a vibrant palette of neon colors, I bring the mysteries of the past closer to the energy of the present. The roses and the bread from the legend do not appear on the canvas (or do they?).</t>
    </r>
  </si>
  <si>
    <r>
      <t xml:space="preserve">Through my </t>
    </r>
    <r>
      <rPr>
        <i/>
        <sz val="10"/>
        <color theme="1"/>
        <rFont val="Arial Narrow"/>
        <family val="2"/>
      </rPr>
      <t>Acrylique Pluie</t>
    </r>
    <r>
      <rPr>
        <sz val="10"/>
        <color theme="1"/>
        <rFont val="Arial Narrow"/>
        <family val="2"/>
      </rPr>
      <t xml:space="preserve"> technique and a vibrant palette of neon colors, I unite landscape, imagination, and history in a single moment. In this work, the Tower of Mértola Castle, built in 1292, meets the Mértola Bridge, inaugurated in 1960.</t>
    </r>
  </si>
  <si>
    <t>Origem</t>
  </si>
  <si>
    <t>A Nova ânfora</t>
  </si>
  <si>
    <t>origem-xxx-live</t>
  </si>
  <si>
    <t>nova_anfora-xxx-live</t>
  </si>
  <si>
    <t>Os Barcos</t>
  </si>
  <si>
    <t>Fui trazendo Setúbal inteira para as minhas obras. Foi assim com a Praia da Figueirinha, a Guarita do Forte de Albarquel, com o Choco etc. Agora, chegam os barcos que despertam a alegria que sinto sempre que estou sentada no meu banco preferido, no Porto de Pesca de Setúbal. A minha vontade de dar cor às cenas do quotidiano que tanto amo está aqui concretizada. Só peço para continuar a sentir todos estes sentimentos e conseguir colocá-los nas minhas obras.</t>
  </si>
  <si>
    <t>Esta obra nasceu porque o meu amor por Setúbal apenas reforça a minha ligação às minhas origens. Nela, pintei o São João das minhas memórias com as mesmas cores vibrantes e a técnica que uso para retratar cenas do meu quotidiano em Setúbal. Ainda bem que o coração tem espaço para amar muitos lugares ao mesmo tempo.</t>
  </si>
  <si>
    <t>Nesta obra, a ânfora mantém as marcas da sua história, mas é retratada com a extravagância de cor do meu agora. Não há aqui qualquer tentativa de negar a cor do barro, nem as características do seu passado, apenas a vontade de partilhar a forma como a enxergo.</t>
  </si>
  <si>
    <t>barcos-xxx-live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</si>
</sst>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1]_);[Red]\(#,##0.00\ [$€-1]\)"/>
  </numFmts>
  <fonts count="14" x14ac:knownFonts="1">
    <font>
      <sz val="11"/>
      <color theme="1"/>
      <name val="Calibri"/>
      <family val="2"/>
      <scheme val="minor"/>
    </font>
    <font>
      <sz val="11"/>
      <color theme="1"/>
      <name val="Arial Narrow"/>
      <family val="2"/>
    </font>
    <font>
      <b/>
      <sz val="10"/>
      <color rgb="FFE0E0E0"/>
      <name val="Arial Narrow"/>
      <family val="2"/>
    </font>
    <font>
      <b/>
      <sz val="10"/>
      <color rgb="FF555555"/>
      <name val="Arial Narrow"/>
      <family val="2"/>
    </font>
    <font>
      <sz val="10"/>
      <name val="Arial Narrow"/>
      <family val="2"/>
    </font>
    <font>
      <b/>
      <sz val="10"/>
      <color rgb="FF155724"/>
      <name val="Arial Narrow"/>
      <family val="2"/>
    </font>
    <font>
      <sz val="11"/>
      <color theme="1"/>
      <name val="Agency FB"/>
      <family val="2"/>
    </font>
    <font>
      <sz val="11"/>
      <color theme="0"/>
      <name val="Arial Narrow"/>
      <family val="2"/>
    </font>
    <font>
      <i/>
      <sz val="10"/>
      <color theme="1"/>
      <name val="Arial Narrow"/>
      <family val="2"/>
    </font>
    <font>
      <b/>
      <vertAlign val="superscript"/>
      <sz val="10"/>
      <color rgb="FFE0E0E0"/>
      <name val="Arial Narrow"/>
      <family val="2"/>
    </font>
    <font>
      <b/>
      <i/>
      <sz val="12"/>
      <color rgb="FFE0E0E0"/>
      <name val="Arial Narrow"/>
      <family val="2"/>
    </font>
    <font>
      <sz val="10"/>
      <color theme="1"/>
      <name val="Arial Narrow"/>
      <family val="2"/>
    </font>
    <font>
      <b/>
      <sz val="12"/>
      <color rgb="FFE0E0E0"/>
      <name val="Arial Narrow"/>
      <family val="2"/>
    </font>
    <font>
      <b/>
      <sz val="12"/>
      <color theme="9" tint="-0.249977111117893"/>
      <name val="Agency FB"/>
      <family val="2"/>
    </font>
  </fonts>
  <fills count="14">
    <fill>
      <patternFill patternType="none"/>
    </fill>
    <fill>
      <patternFill patternType="gray125"/>
    </fill>
    <fill>
      <patternFill patternType="solid">
        <fgColor rgb="FF0F3460"/>
      </patternFill>
    </fill>
    <fill>
      <patternFill patternType="solid">
        <fgColor rgb="FFF5F5F5"/>
      </patternFill>
    </fill>
    <fill>
      <patternFill patternType="solid">
        <fgColor rgb="FFD4EDDA"/>
      </patternFill>
    </fill>
    <fill>
      <patternFill patternType="solid">
        <fgColor rgb="FFFFFFFF"/>
      </patternFill>
    </fill>
    <fill>
      <patternFill patternType="solid">
        <fgColor rgb="FFF5F5F5"/>
        <bgColor rgb="FF000000"/>
      </patternFill>
    </fill>
    <fill>
      <patternFill patternType="solid">
        <fgColor theme="7" tint="-0.24994659260841701"/>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BFECE"/>
        <bgColor indexed="64"/>
      </patternFill>
    </fill>
    <fill>
      <patternFill patternType="solid">
        <fgColor rgb="FFFFFF00"/>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bottom/>
      <diagonal/>
    </border>
    <border>
      <left style="thin">
        <color rgb="FFCCCCCC"/>
      </left>
      <right style="thin">
        <color rgb="FFCCCCCC"/>
      </right>
      <top style="thin">
        <color rgb="FFCCCCCC"/>
      </top>
      <bottom/>
      <diagonal/>
    </border>
    <border>
      <left style="thin">
        <color rgb="FFCCCCCC"/>
      </left>
      <right style="thin">
        <color rgb="FFCCCCCC"/>
      </right>
      <top/>
      <bottom style="thin">
        <color rgb="FFCCCCCC"/>
      </bottom>
      <diagonal/>
    </border>
    <border>
      <left style="thin">
        <color rgb="FFCCCCCC"/>
      </left>
      <right/>
      <top/>
      <bottom style="dotted">
        <color rgb="FFCCCCCC"/>
      </bottom>
      <diagonal/>
    </border>
    <border>
      <left style="thin">
        <color rgb="FFCCCCCC"/>
      </left>
      <right/>
      <top style="dotted">
        <color rgb="FFCCCCCC"/>
      </top>
      <bottom style="dotted">
        <color rgb="FFCCCCCC"/>
      </bottom>
      <diagonal/>
    </border>
    <border>
      <left style="thin">
        <color rgb="FFCCCCCC"/>
      </left>
      <right style="thin">
        <color rgb="FFCCCCCC"/>
      </right>
      <top style="dotted">
        <color rgb="FFCCCCCC"/>
      </top>
      <bottom style="dotted">
        <color rgb="FFCCCCCC"/>
      </bottom>
      <diagonal/>
    </border>
    <border>
      <left style="thin">
        <color rgb="FFCCCCCC"/>
      </left>
      <right/>
      <top style="dotted">
        <color rgb="FFCCCCCC"/>
      </top>
      <bottom/>
      <diagonal/>
    </border>
    <border>
      <left style="thin">
        <color auto="1"/>
      </left>
      <right style="thin">
        <color auto="1"/>
      </right>
      <top style="thin">
        <color auto="1"/>
      </top>
      <bottom style="thin">
        <color auto="1"/>
      </bottom>
      <diagonal/>
    </border>
  </borders>
  <cellStyleXfs count="1">
    <xf numFmtId="0" fontId="0" fillId="0" borderId="0"/>
  </cellStyleXfs>
  <cellXfs count="50">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pplyProtection="1">
      <alignment horizontal="center" vertical="center"/>
      <protection locked="0"/>
    </xf>
    <xf numFmtId="0" fontId="4" fillId="3" borderId="1" xfId="0" applyFont="1" applyFill="1" applyBorder="1" applyAlignment="1" applyProtection="1">
      <alignment vertical="center" wrapText="1"/>
      <protection locked="0"/>
    </xf>
    <xf numFmtId="0" fontId="5" fillId="4" borderId="1" xfId="0" applyFont="1" applyFill="1" applyBorder="1" applyAlignment="1" applyProtection="1">
      <alignment horizontal="center" vertical="center"/>
      <protection locked="0"/>
    </xf>
    <xf numFmtId="0" fontId="1" fillId="0" borderId="0" xfId="0" applyFont="1" applyProtection="1">
      <protection locked="0"/>
    </xf>
    <xf numFmtId="0" fontId="3" fillId="5" borderId="1" xfId="0" applyFont="1" applyFill="1" applyBorder="1" applyAlignment="1" applyProtection="1">
      <alignment horizontal="center" vertical="center"/>
      <protection locked="0"/>
    </xf>
    <xf numFmtId="0" fontId="4" fillId="5" borderId="1" xfId="0" applyFont="1" applyFill="1" applyBorder="1" applyAlignment="1" applyProtection="1">
      <alignment vertical="center" wrapText="1"/>
      <protection locked="0"/>
    </xf>
    <xf numFmtId="0" fontId="4" fillId="6" borderId="1" xfId="0" applyFont="1" applyFill="1" applyBorder="1" applyAlignment="1" applyProtection="1">
      <alignment vertical="center" wrapText="1"/>
      <protection locked="0"/>
    </xf>
    <xf numFmtId="164" fontId="6" fillId="0" borderId="0" xfId="0" applyNumberFormat="1" applyFont="1" applyProtection="1">
      <protection locked="0"/>
    </xf>
    <xf numFmtId="164" fontId="6" fillId="0" borderId="0" xfId="0" applyNumberFormat="1" applyFont="1"/>
    <xf numFmtId="164" fontId="1" fillId="7" borderId="0" xfId="0" applyNumberFormat="1" applyFont="1" applyFill="1"/>
    <xf numFmtId="164" fontId="1" fillId="8" borderId="0" xfId="0" applyNumberFormat="1" applyFont="1" applyFill="1"/>
    <xf numFmtId="0" fontId="1" fillId="8" borderId="0" xfId="0" applyFont="1" applyFill="1"/>
    <xf numFmtId="164" fontId="7" fillId="7" borderId="0" xfId="0" applyNumberFormat="1" applyFont="1" applyFill="1"/>
    <xf numFmtId="164" fontId="1" fillId="9" borderId="0" xfId="0" applyNumberFormat="1" applyFont="1" applyFill="1"/>
    <xf numFmtId="0" fontId="1" fillId="9" borderId="0" xfId="0" applyFont="1" applyFill="1"/>
    <xf numFmtId="164" fontId="1" fillId="10" borderId="0" xfId="0" applyNumberFormat="1" applyFont="1" applyFill="1"/>
    <xf numFmtId="0" fontId="1" fillId="10" borderId="0" xfId="0" applyFont="1" applyFill="1"/>
    <xf numFmtId="164" fontId="1" fillId="11" borderId="0" xfId="0" applyNumberFormat="1" applyFont="1" applyFill="1"/>
    <xf numFmtId="0" fontId="1" fillId="11" borderId="0" xfId="0" applyFont="1" applyFill="1"/>
    <xf numFmtId="164" fontId="6" fillId="0" borderId="0" xfId="0" applyNumberFormat="1" applyFont="1" applyAlignment="1">
      <alignment horizontal="center"/>
    </xf>
    <xf numFmtId="164" fontId="6" fillId="0" borderId="0" xfId="0" applyNumberFormat="1" applyFont="1" applyAlignment="1" applyProtection="1">
      <alignment horizontal="center"/>
      <protection locked="0"/>
    </xf>
    <xf numFmtId="0" fontId="2" fillId="2" borderId="0" xfId="0" applyFont="1" applyFill="1" applyAlignment="1">
      <alignment horizontal="center" vertical="center" wrapText="1"/>
    </xf>
    <xf numFmtId="0" fontId="8" fillId="0" borderId="0" xfId="0" applyFont="1" applyAlignment="1">
      <alignment shrinkToFit="1"/>
    </xf>
    <xf numFmtId="0" fontId="1" fillId="0" borderId="0" xfId="0" applyFont="1" applyAlignment="1" applyProtection="1">
      <alignment shrinkToFit="1"/>
      <protection locked="0"/>
    </xf>
    <xf numFmtId="164" fontId="10" fillId="2" borderId="0" xfId="0" applyNumberFormat="1" applyFont="1" applyFill="1" applyAlignment="1">
      <alignment horizontal="center" vertical="center" wrapText="1"/>
    </xf>
    <xf numFmtId="0" fontId="11" fillId="0" borderId="0" xfId="0" applyFont="1"/>
    <xf numFmtId="0" fontId="11" fillId="0" borderId="0" xfId="0" applyFont="1" applyProtection="1">
      <protection locked="0"/>
    </xf>
    <xf numFmtId="0" fontId="12" fillId="2" borderId="1" xfId="0" applyFont="1" applyFill="1" applyBorder="1" applyAlignment="1">
      <alignment horizontal="center" vertical="center" wrapText="1"/>
    </xf>
    <xf numFmtId="0" fontId="1" fillId="0" borderId="0" xfId="0" applyFont="1" applyAlignment="1">
      <alignment shrinkToFit="1"/>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4" borderId="8" xfId="0" applyNumberFormat="1" applyFont="1" applyFill="1" applyBorder="1" applyAlignment="1">
      <alignment horizontal="center" vertical="center"/>
    </xf>
    <xf numFmtId="0" fontId="4" fillId="3" borderId="1" xfId="0" applyFont="1" applyFill="1" applyBorder="1" applyAlignment="1">
      <alignment vertical="center" wrapText="1"/>
    </xf>
    <xf numFmtId="0" fontId="4" fillId="13" borderId="1" xfId="0" applyFont="1" applyFill="1" applyBorder="1" applyAlignment="1" applyProtection="1">
      <alignment vertical="center" wrapText="1"/>
      <protection locked="0"/>
    </xf>
    <xf numFmtId="0" fontId="3" fillId="0" borderId="1" xfId="0" applyFont="1" applyFill="1" applyBorder="1" applyAlignment="1" applyProtection="1">
      <alignment horizontal="center" vertical="center"/>
      <protection locked="0"/>
    </xf>
    <xf numFmtId="0" fontId="11" fillId="0" borderId="0" xfId="0" applyFont="1" applyFill="1" applyProtection="1">
      <protection locked="0"/>
    </xf>
    <xf numFmtId="0" fontId="11" fillId="0" borderId="0" xfId="0" applyFont="1" applyFill="1"/>
    <xf numFmtId="0" fontId="4" fillId="0" borderId="1" xfId="0" applyFont="1" applyFill="1" applyBorder="1" applyAlignment="1" applyProtection="1">
      <alignment vertical="center" wrapText="1"/>
      <protection locked="0"/>
    </xf>
    <xf numFmtId="0" fontId="4" fillId="5" borderId="3" xfId="0" applyFont="1" applyFill="1" applyBorder="1" applyAlignment="1" applyProtection="1">
      <alignment horizontal="center" vertical="center" wrapText="1"/>
      <protection locked="0"/>
    </xf>
    <xf numFmtId="0" fontId="4" fillId="5" borderId="4" xfId="0" applyFont="1" applyFill="1" applyBorder="1" applyAlignment="1" applyProtection="1">
      <alignment horizontal="center" vertical="center" wrapText="1"/>
      <protection locked="0"/>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164" fontId="5" fillId="4" borderId="7" xfId="0" applyNumberFormat="1" applyFont="1" applyFill="1" applyBorder="1" applyAlignment="1">
      <alignment horizontal="center" vertical="center"/>
    </xf>
    <xf numFmtId="164" fontId="6" fillId="0" borderId="0" xfId="0" applyNumberFormat="1" applyFont="1" applyAlignment="1">
      <alignment horizontal="center"/>
    </xf>
    <xf numFmtId="0" fontId="1" fillId="0" borderId="0" xfId="0" applyFont="1" applyAlignment="1" applyProtection="1">
      <alignment horizontal="center" shrinkToFit="1"/>
      <protection locked="0"/>
    </xf>
    <xf numFmtId="164" fontId="6" fillId="0" borderId="2" xfId="0" applyNumberFormat="1" applyFont="1" applyBorder="1" applyAlignment="1" applyProtection="1">
      <alignment horizontal="center"/>
      <protection locked="0"/>
    </xf>
    <xf numFmtId="164" fontId="13" fillId="12" borderId="9" xfId="0" applyNumberFormat="1" applyFont="1" applyFill="1" applyBorder="1" applyAlignment="1">
      <alignment horizontal="center" vertical="center" shrinkToFit="1"/>
    </xf>
  </cellXfs>
  <cellStyles count="1">
    <cellStyle name="Normal" xfId="0" builtinId="0"/>
  </cellStyles>
  <dxfs count="4">
    <dxf>
      <font>
        <color theme="0"/>
      </font>
    </dxf>
    <dxf>
      <fill>
        <patternFill>
          <bgColor rgb="FFFFFF00"/>
        </patternFill>
      </fill>
    </dxf>
    <dxf>
      <border>
        <left style="dotted">
          <color auto="1"/>
        </left>
        <right style="dotted">
          <color auto="1"/>
        </right>
        <top style="dotted">
          <color auto="1"/>
        </top>
        <bottom style="dotted">
          <color auto="1"/>
        </bottom>
        <vertical/>
        <horizontal/>
      </border>
    </dxf>
    <dxf>
      <border>
        <left style="dotted">
          <color auto="1"/>
        </left>
        <right style="dotted">
          <color auto="1"/>
        </right>
        <top style="dotted">
          <color auto="1"/>
        </top>
        <bottom style="dotted">
          <color auto="1"/>
        </bottom>
        <vertical/>
        <horizontal/>
      </border>
    </dxf>
  </dxfs>
  <tableStyles count="0" defaultTableStyle="TableStyleMedium9" defaultPivotStyle="PivotStyleLight16"/>
  <colors>
    <mruColors>
      <color rgb="FFFBFECE"/>
      <color rgb="FFF2FC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86"/>
  <sheetViews>
    <sheetView tabSelected="1" workbookViewId="0">
      <pane xSplit="2" ySplit="6" topLeftCell="C18" activePane="bottomRight" state="frozen"/>
      <selection pane="topRight" activeCell="C1" sqref="C1"/>
      <selection pane="bottomLeft" activeCell="A7" sqref="A7"/>
      <selection pane="bottomRight" activeCell="O3" sqref="O3"/>
    </sheetView>
  </sheetViews>
  <sheetFormatPr defaultColWidth="8.81640625" defaultRowHeight="14" x14ac:dyDescent="0.3"/>
  <cols>
    <col min="1" max="1" width="5" style="29" customWidth="1"/>
    <col min="2" max="2" width="30" style="29" customWidth="1"/>
    <col min="3" max="3" width="8" style="29" customWidth="1"/>
    <col min="4" max="5" width="16" style="29" customWidth="1"/>
    <col min="6" max="6" width="16" style="28" customWidth="1"/>
    <col min="7" max="7" width="20" style="29" customWidth="1"/>
    <col min="8" max="8" width="45" style="29" customWidth="1"/>
    <col min="9" max="9" width="13" style="6" customWidth="1"/>
    <col min="10" max="10" width="13" style="1" customWidth="1"/>
    <col min="11" max="11" width="12.36328125" style="10" bestFit="1" customWidth="1"/>
    <col min="12" max="12" width="12.36328125" style="10" customWidth="1"/>
    <col min="13" max="16" width="8.81640625" style="11"/>
    <col min="17" max="17" width="9.81640625" style="11" bestFit="1" customWidth="1"/>
    <col min="18" max="18" width="9.81640625" style="11" customWidth="1"/>
    <col min="19" max="22" width="8.81640625" style="6"/>
    <col min="23" max="23" width="12.36328125" style="26" bestFit="1" customWidth="1"/>
    <col min="24" max="16384" width="8.81640625" style="6"/>
  </cols>
  <sheetData>
    <row r="1" spans="1:23" s="1" customFormat="1" x14ac:dyDescent="0.3">
      <c r="A1" s="28"/>
      <c r="B1" s="28"/>
      <c r="C1" s="28"/>
      <c r="D1" s="28"/>
      <c r="E1" s="28"/>
      <c r="F1" s="28"/>
      <c r="G1" s="28"/>
      <c r="H1" s="28"/>
      <c r="K1" s="15" t="s">
        <v>29</v>
      </c>
      <c r="L1" s="15"/>
      <c r="M1" s="13"/>
      <c r="N1" s="13"/>
      <c r="O1" s="13"/>
      <c r="P1" s="13"/>
      <c r="Q1" s="13"/>
      <c r="R1" s="13"/>
      <c r="S1" s="14"/>
      <c r="T1" s="14"/>
      <c r="U1" s="14"/>
      <c r="V1" s="14"/>
      <c r="W1" s="25" t="s">
        <v>31</v>
      </c>
    </row>
    <row r="2" spans="1:23" s="1" customFormat="1" x14ac:dyDescent="0.3">
      <c r="A2" s="28"/>
      <c r="B2" s="28"/>
      <c r="C2" s="28"/>
      <c r="D2" s="28"/>
      <c r="E2" s="28"/>
      <c r="F2" s="28"/>
      <c r="G2" s="28"/>
      <c r="H2" s="28"/>
      <c r="K2" s="12"/>
      <c r="L2" s="12"/>
      <c r="M2" s="16" t="s">
        <v>48</v>
      </c>
      <c r="N2" s="16"/>
      <c r="O2" s="16"/>
      <c r="P2" s="16"/>
      <c r="Q2" s="16"/>
      <c r="R2" s="16"/>
      <c r="S2" s="17"/>
      <c r="T2" s="17"/>
      <c r="U2" s="17"/>
      <c r="V2" s="17"/>
      <c r="W2" s="25" t="s">
        <v>32</v>
      </c>
    </row>
    <row r="3" spans="1:23" s="1" customFormat="1" x14ac:dyDescent="0.3">
      <c r="A3" s="28"/>
      <c r="B3" s="28"/>
      <c r="C3" s="28"/>
      <c r="D3" s="28"/>
      <c r="E3" s="28"/>
      <c r="F3" s="28"/>
      <c r="G3" s="28"/>
      <c r="H3" s="28"/>
      <c r="K3" s="12"/>
      <c r="L3" s="12"/>
      <c r="M3" s="16"/>
      <c r="N3" s="16"/>
      <c r="O3" s="18" t="s">
        <v>49</v>
      </c>
      <c r="P3" s="18"/>
      <c r="Q3" s="18"/>
      <c r="R3" s="18"/>
      <c r="S3" s="19"/>
      <c r="T3" s="19"/>
      <c r="U3" s="19"/>
      <c r="V3" s="19"/>
      <c r="W3" s="25" t="s">
        <v>33</v>
      </c>
    </row>
    <row r="4" spans="1:23" s="1" customFormat="1" x14ac:dyDescent="0.3">
      <c r="A4" s="28"/>
      <c r="B4" s="28"/>
      <c r="C4" s="28"/>
      <c r="D4" s="28"/>
      <c r="E4" s="28"/>
      <c r="F4" s="28"/>
      <c r="G4" s="28"/>
      <c r="H4" s="28"/>
      <c r="K4" s="12"/>
      <c r="L4" s="12"/>
      <c r="M4" s="16"/>
      <c r="N4" s="16"/>
      <c r="O4" s="18"/>
      <c r="P4" s="18"/>
      <c r="Q4" s="20" t="s">
        <v>30</v>
      </c>
      <c r="R4" s="20"/>
      <c r="S4" s="21"/>
      <c r="T4" s="21"/>
      <c r="U4" s="21"/>
      <c r="V4" s="21"/>
      <c r="W4" s="25" t="s">
        <v>34</v>
      </c>
    </row>
    <row r="5" spans="1:23" s="1" customFormat="1" ht="22" customHeight="1" x14ac:dyDescent="0.3">
      <c r="A5" s="2" t="s">
        <v>0</v>
      </c>
      <c r="B5" s="2" t="s">
        <v>1</v>
      </c>
      <c r="C5" s="2" t="s">
        <v>2</v>
      </c>
      <c r="D5" s="2" t="s">
        <v>54</v>
      </c>
      <c r="E5" s="2" t="s">
        <v>55</v>
      </c>
      <c r="F5" s="2" t="s">
        <v>53</v>
      </c>
      <c r="G5" s="2" t="s">
        <v>3</v>
      </c>
      <c r="H5" s="2" t="s">
        <v>4</v>
      </c>
      <c r="I5" s="2" t="s">
        <v>5</v>
      </c>
      <c r="J5" s="24" t="s">
        <v>52</v>
      </c>
      <c r="K5" s="12"/>
      <c r="L5" s="12"/>
      <c r="M5" s="16"/>
      <c r="N5" s="16"/>
      <c r="O5" s="18"/>
      <c r="P5" s="18"/>
      <c r="Q5" s="20"/>
      <c r="R5" s="20"/>
      <c r="W5" s="31"/>
    </row>
    <row r="6" spans="1:23" s="1" customFormat="1" ht="22" customHeight="1" x14ac:dyDescent="0.3">
      <c r="A6" s="2"/>
      <c r="B6" s="2"/>
      <c r="C6" s="2"/>
      <c r="D6" s="30">
        <f>SUM(D7:D21)</f>
        <v>1750</v>
      </c>
      <c r="E6" s="30">
        <f>SUM(E7:E21)</f>
        <v>1793</v>
      </c>
      <c r="F6" s="30">
        <f t="shared" ref="F6" si="0">SUM(F7:F19)</f>
        <v>258648</v>
      </c>
      <c r="G6" s="2"/>
      <c r="H6" s="2"/>
      <c r="I6" s="2"/>
      <c r="J6" s="27">
        <f>K6/F6</f>
        <v>0.10969348303485818</v>
      </c>
      <c r="K6" s="49">
        <f>SUM(K7:K106)</f>
        <v>28372</v>
      </c>
      <c r="L6" s="49"/>
      <c r="M6" s="49">
        <f>SUM(M7:M106)</f>
        <v>8511.6</v>
      </c>
      <c r="N6" s="49"/>
      <c r="O6" s="49">
        <f>SUM(O7:O106)</f>
        <v>2837.2</v>
      </c>
      <c r="P6" s="49"/>
      <c r="Q6" s="49">
        <f>SUM(Q7:Q106)</f>
        <v>283.72000000000003</v>
      </c>
      <c r="R6" s="49"/>
      <c r="W6" s="31"/>
    </row>
    <row r="7" spans="1:23" ht="60" customHeight="1" x14ac:dyDescent="0.3">
      <c r="A7" s="3">
        <v>1</v>
      </c>
      <c r="B7" s="4" t="s">
        <v>7</v>
      </c>
      <c r="C7" s="4">
        <v>2025</v>
      </c>
      <c r="D7" s="4">
        <v>150</v>
      </c>
      <c r="E7" s="4">
        <v>100</v>
      </c>
      <c r="F7" s="35">
        <f>D7*E7</f>
        <v>15000</v>
      </c>
      <c r="G7" s="4" t="s">
        <v>18</v>
      </c>
      <c r="H7" s="4" t="s">
        <v>17</v>
      </c>
      <c r="I7" s="5" t="s">
        <v>6</v>
      </c>
      <c r="J7" s="32">
        <f t="shared" ref="J7:J13" si="1">K7/F7</f>
        <v>0.14666666666666667</v>
      </c>
      <c r="K7" s="10">
        <v>2200</v>
      </c>
      <c r="M7" s="11">
        <f t="shared" ref="M7:M11" si="2">K7*30%</f>
        <v>660</v>
      </c>
      <c r="O7" s="11">
        <f t="shared" ref="O7:O11" si="3">K7*10%</f>
        <v>220</v>
      </c>
      <c r="Q7" s="11">
        <f t="shared" ref="Q7:Q11" si="4">O7*10%</f>
        <v>22</v>
      </c>
      <c r="W7" s="26" t="s">
        <v>35</v>
      </c>
    </row>
    <row r="8" spans="1:23" ht="134" customHeight="1" x14ac:dyDescent="0.3">
      <c r="A8" s="7">
        <v>2</v>
      </c>
      <c r="B8" s="8" t="s">
        <v>8</v>
      </c>
      <c r="C8" s="8">
        <v>2025</v>
      </c>
      <c r="D8" s="8">
        <v>160</v>
      </c>
      <c r="E8" s="8">
        <v>210</v>
      </c>
      <c r="F8" s="35">
        <f>D8*E8</f>
        <v>33600</v>
      </c>
      <c r="G8" s="8" t="s">
        <v>18</v>
      </c>
      <c r="H8" s="4" t="s">
        <v>19</v>
      </c>
      <c r="I8" s="5" t="s">
        <v>6</v>
      </c>
      <c r="J8" s="33">
        <f t="shared" si="1"/>
        <v>5.9523809523809521E-2</v>
      </c>
      <c r="K8" s="10">
        <v>2000</v>
      </c>
      <c r="M8" s="11">
        <f t="shared" si="2"/>
        <v>600</v>
      </c>
      <c r="O8" s="11">
        <f t="shared" si="3"/>
        <v>200</v>
      </c>
      <c r="Q8" s="11">
        <f t="shared" si="4"/>
        <v>20</v>
      </c>
      <c r="W8" s="26" t="s">
        <v>36</v>
      </c>
    </row>
    <row r="9" spans="1:23" ht="113" customHeight="1" x14ac:dyDescent="0.3">
      <c r="A9" s="3">
        <v>3</v>
      </c>
      <c r="B9" s="4" t="s">
        <v>9</v>
      </c>
      <c r="C9" s="4">
        <v>2025</v>
      </c>
      <c r="D9" s="4">
        <v>150</v>
      </c>
      <c r="E9" s="4">
        <v>100</v>
      </c>
      <c r="F9" s="35">
        <f>D9*E9</f>
        <v>15000</v>
      </c>
      <c r="G9" s="8" t="s">
        <v>18</v>
      </c>
      <c r="H9" s="4" t="s">
        <v>20</v>
      </c>
      <c r="I9" s="5" t="s">
        <v>6</v>
      </c>
      <c r="J9" s="33">
        <f t="shared" si="1"/>
        <v>0.13333333333333333</v>
      </c>
      <c r="K9" s="10">
        <v>2000</v>
      </c>
      <c r="M9" s="11">
        <f t="shared" si="2"/>
        <v>600</v>
      </c>
      <c r="O9" s="11">
        <f t="shared" si="3"/>
        <v>200</v>
      </c>
      <c r="Q9" s="11">
        <f t="shared" si="4"/>
        <v>20</v>
      </c>
      <c r="W9" s="26" t="s">
        <v>37</v>
      </c>
    </row>
    <row r="10" spans="1:23" ht="109" customHeight="1" x14ac:dyDescent="0.3">
      <c r="A10" s="7">
        <v>4</v>
      </c>
      <c r="B10" s="8" t="s">
        <v>10</v>
      </c>
      <c r="C10" s="8">
        <v>2025</v>
      </c>
      <c r="D10" s="8">
        <v>136</v>
      </c>
      <c r="E10" s="8">
        <v>183</v>
      </c>
      <c r="F10" s="35">
        <f t="shared" ref="F10:F22" si="5">D10*E10</f>
        <v>24888</v>
      </c>
      <c r="G10" s="8" t="s">
        <v>18</v>
      </c>
      <c r="H10" s="4" t="s">
        <v>21</v>
      </c>
      <c r="I10" s="5" t="s">
        <v>6</v>
      </c>
      <c r="J10" s="33">
        <f t="shared" si="1"/>
        <v>8.8396014143362261E-2</v>
      </c>
      <c r="K10" s="10">
        <v>2200</v>
      </c>
      <c r="M10" s="11">
        <f t="shared" si="2"/>
        <v>660</v>
      </c>
      <c r="O10" s="11">
        <f t="shared" si="3"/>
        <v>220</v>
      </c>
      <c r="Q10" s="11">
        <f t="shared" si="4"/>
        <v>22</v>
      </c>
      <c r="W10" s="26" t="s">
        <v>38</v>
      </c>
    </row>
    <row r="11" spans="1:23" ht="121" customHeight="1" x14ac:dyDescent="0.3">
      <c r="A11" s="3">
        <v>5</v>
      </c>
      <c r="B11" s="4" t="s">
        <v>11</v>
      </c>
      <c r="C11" s="4">
        <v>2025</v>
      </c>
      <c r="D11" s="4">
        <v>120</v>
      </c>
      <c r="E11" s="4">
        <v>120</v>
      </c>
      <c r="F11" s="35">
        <f t="shared" si="5"/>
        <v>14400</v>
      </c>
      <c r="G11" s="8" t="s">
        <v>23</v>
      </c>
      <c r="H11" s="4" t="s">
        <v>22</v>
      </c>
      <c r="I11" s="5" t="s">
        <v>6</v>
      </c>
      <c r="J11" s="33">
        <f t="shared" si="1"/>
        <v>0.14583333333333334</v>
      </c>
      <c r="K11" s="10">
        <v>2100</v>
      </c>
      <c r="M11" s="11">
        <f t="shared" si="2"/>
        <v>630</v>
      </c>
      <c r="O11" s="11">
        <f t="shared" si="3"/>
        <v>210</v>
      </c>
      <c r="Q11" s="11">
        <f t="shared" si="4"/>
        <v>21</v>
      </c>
      <c r="W11" s="26" t="s">
        <v>39</v>
      </c>
    </row>
    <row r="12" spans="1:23" ht="60" customHeight="1" x14ac:dyDescent="0.3">
      <c r="A12" s="7">
        <v>6</v>
      </c>
      <c r="B12" s="8" t="s">
        <v>28</v>
      </c>
      <c r="C12" s="8">
        <v>2025</v>
      </c>
      <c r="D12" s="8">
        <v>150</v>
      </c>
      <c r="E12" s="8">
        <v>100</v>
      </c>
      <c r="F12" s="35">
        <f t="shared" si="5"/>
        <v>15000</v>
      </c>
      <c r="G12" s="8" t="s">
        <v>18</v>
      </c>
      <c r="H12" s="4" t="s">
        <v>24</v>
      </c>
      <c r="I12" s="5" t="s">
        <v>6</v>
      </c>
      <c r="J12" s="33">
        <f t="shared" si="1"/>
        <v>0.13333333333333333</v>
      </c>
      <c r="K12" s="10">
        <v>2000</v>
      </c>
      <c r="M12" s="11">
        <f>K12*30%</f>
        <v>600</v>
      </c>
      <c r="O12" s="11">
        <f>K12*10%</f>
        <v>200</v>
      </c>
      <c r="Q12" s="11">
        <f>O12*10%</f>
        <v>20</v>
      </c>
      <c r="W12" s="26" t="s">
        <v>40</v>
      </c>
    </row>
    <row r="13" spans="1:23" ht="82" customHeight="1" x14ac:dyDescent="0.3">
      <c r="A13" s="7">
        <v>8</v>
      </c>
      <c r="B13" s="8" t="s">
        <v>13</v>
      </c>
      <c r="C13" s="8">
        <v>2025</v>
      </c>
      <c r="D13" s="41">
        <v>200</v>
      </c>
      <c r="E13" s="41">
        <v>250</v>
      </c>
      <c r="F13" s="43">
        <f t="shared" si="5"/>
        <v>50000</v>
      </c>
      <c r="G13" s="8" t="s">
        <v>18</v>
      </c>
      <c r="H13" s="9" t="s">
        <v>26</v>
      </c>
      <c r="I13" s="5" t="s">
        <v>6</v>
      </c>
      <c r="J13" s="45">
        <f t="shared" si="1"/>
        <v>7.1999999999999995E-2</v>
      </c>
      <c r="K13" s="48">
        <v>3600</v>
      </c>
      <c r="L13" s="23"/>
      <c r="M13" s="46">
        <f>K13*30%</f>
        <v>1080</v>
      </c>
      <c r="N13" s="22"/>
      <c r="O13" s="46">
        <f t="shared" ref="O13:O16" si="6">K13*10%</f>
        <v>360</v>
      </c>
      <c r="P13" s="22"/>
      <c r="Q13" s="46">
        <f>O13*10%</f>
        <v>36</v>
      </c>
      <c r="R13" s="22"/>
      <c r="W13" s="47" t="s">
        <v>41</v>
      </c>
    </row>
    <row r="14" spans="1:23" ht="72" customHeight="1" x14ac:dyDescent="0.3">
      <c r="A14" s="3">
        <v>9</v>
      </c>
      <c r="B14" s="4" t="s">
        <v>14</v>
      </c>
      <c r="C14" s="4">
        <v>2025</v>
      </c>
      <c r="D14" s="42"/>
      <c r="E14" s="42"/>
      <c r="F14" s="44"/>
      <c r="G14" s="8" t="s">
        <v>18</v>
      </c>
      <c r="H14" s="9" t="s">
        <v>27</v>
      </c>
      <c r="I14" s="5" t="s">
        <v>6</v>
      </c>
      <c r="J14" s="45"/>
      <c r="K14" s="48"/>
      <c r="L14" s="23"/>
      <c r="M14" s="46"/>
      <c r="N14" s="22"/>
      <c r="O14" s="46"/>
      <c r="P14" s="22"/>
      <c r="Q14" s="46"/>
      <c r="R14" s="22"/>
      <c r="W14" s="47"/>
    </row>
    <row r="15" spans="1:23" ht="91" customHeight="1" x14ac:dyDescent="0.3">
      <c r="A15" s="3">
        <v>7</v>
      </c>
      <c r="B15" s="4" t="s">
        <v>12</v>
      </c>
      <c r="C15" s="4">
        <v>2026</v>
      </c>
      <c r="D15" s="4">
        <v>100</v>
      </c>
      <c r="E15" s="4">
        <v>100</v>
      </c>
      <c r="F15" s="35">
        <f t="shared" si="5"/>
        <v>10000</v>
      </c>
      <c r="G15" s="8" t="s">
        <v>18</v>
      </c>
      <c r="H15" s="9" t="s">
        <v>58</v>
      </c>
      <c r="I15" s="5" t="s">
        <v>6</v>
      </c>
      <c r="J15" s="33">
        <f t="shared" ref="J15:J19" si="7">K15/F15</f>
        <v>0.16</v>
      </c>
      <c r="K15" s="10">
        <v>1600</v>
      </c>
      <c r="M15" s="11">
        <f t="shared" ref="M15:M46" si="8">K15*30%</f>
        <v>480</v>
      </c>
      <c r="O15" s="11">
        <f t="shared" si="6"/>
        <v>160</v>
      </c>
      <c r="Q15" s="11">
        <f t="shared" ref="Q15:Q46" si="9">O15*10%</f>
        <v>16</v>
      </c>
      <c r="W15" s="26" t="s">
        <v>42</v>
      </c>
    </row>
    <row r="16" spans="1:23" ht="96" customHeight="1" x14ac:dyDescent="0.3">
      <c r="A16" s="3">
        <v>10</v>
      </c>
      <c r="B16" s="4" t="s">
        <v>16</v>
      </c>
      <c r="C16" s="4">
        <v>2026</v>
      </c>
      <c r="D16" s="4">
        <v>100</v>
      </c>
      <c r="E16" s="4">
        <v>150</v>
      </c>
      <c r="F16" s="35">
        <f t="shared" si="5"/>
        <v>15000</v>
      </c>
      <c r="G16" s="8" t="s">
        <v>18</v>
      </c>
      <c r="H16" s="9" t="s">
        <v>57</v>
      </c>
      <c r="I16" s="5" t="s">
        <v>6</v>
      </c>
      <c r="J16" s="33">
        <f t="shared" si="7"/>
        <v>0.12</v>
      </c>
      <c r="K16" s="10">
        <v>1800</v>
      </c>
      <c r="M16" s="11">
        <f t="shared" si="8"/>
        <v>540</v>
      </c>
      <c r="O16" s="11">
        <f t="shared" si="6"/>
        <v>180</v>
      </c>
      <c r="Q16" s="11">
        <f t="shared" si="9"/>
        <v>18</v>
      </c>
      <c r="W16" s="26" t="s">
        <v>43</v>
      </c>
    </row>
    <row r="17" spans="1:23" ht="60" customHeight="1" x14ac:dyDescent="0.3">
      <c r="A17" s="3">
        <v>11</v>
      </c>
      <c r="B17" s="8" t="s">
        <v>15</v>
      </c>
      <c r="C17" s="8">
        <v>2026</v>
      </c>
      <c r="D17" s="8">
        <v>100</v>
      </c>
      <c r="E17" s="8">
        <v>100</v>
      </c>
      <c r="F17" s="35">
        <f t="shared" si="5"/>
        <v>10000</v>
      </c>
      <c r="G17" s="8" t="s">
        <v>18</v>
      </c>
      <c r="H17" s="4" t="s">
        <v>25</v>
      </c>
      <c r="I17" s="5" t="s">
        <v>6</v>
      </c>
      <c r="J17" s="33">
        <f t="shared" si="7"/>
        <v>0.16</v>
      </c>
      <c r="K17" s="10">
        <v>1600</v>
      </c>
      <c r="M17" s="11">
        <f t="shared" si="8"/>
        <v>480</v>
      </c>
      <c r="O17" s="11">
        <f t="shared" ref="O17:O48" si="10">K17*10%</f>
        <v>160</v>
      </c>
      <c r="Q17" s="11">
        <f t="shared" si="9"/>
        <v>16</v>
      </c>
      <c r="W17" s="26" t="s">
        <v>44</v>
      </c>
    </row>
    <row r="18" spans="1:23" ht="26" x14ac:dyDescent="0.3">
      <c r="A18" s="3">
        <v>12</v>
      </c>
      <c r="B18" s="8" t="s">
        <v>45</v>
      </c>
      <c r="C18" s="8">
        <v>2026</v>
      </c>
      <c r="D18" s="8">
        <v>100</v>
      </c>
      <c r="E18" s="8">
        <v>100</v>
      </c>
      <c r="F18" s="35">
        <f t="shared" si="5"/>
        <v>10000</v>
      </c>
      <c r="G18" s="8" t="s">
        <v>18</v>
      </c>
      <c r="H18" s="4" t="s">
        <v>46</v>
      </c>
      <c r="I18" s="5" t="s">
        <v>6</v>
      </c>
      <c r="J18" s="33">
        <f t="shared" si="7"/>
        <v>0.16</v>
      </c>
      <c r="K18" s="10">
        <v>1600</v>
      </c>
      <c r="M18" s="11">
        <f t="shared" si="8"/>
        <v>480</v>
      </c>
      <c r="O18" s="11">
        <f t="shared" si="10"/>
        <v>160</v>
      </c>
      <c r="Q18" s="11">
        <f t="shared" si="9"/>
        <v>16</v>
      </c>
      <c r="W18" s="26" t="s">
        <v>47</v>
      </c>
    </row>
    <row r="19" spans="1:23" ht="78" x14ac:dyDescent="0.3">
      <c r="A19" s="3">
        <v>13</v>
      </c>
      <c r="B19" s="8" t="s">
        <v>50</v>
      </c>
      <c r="C19" s="8">
        <v>2026</v>
      </c>
      <c r="D19" s="8">
        <v>208</v>
      </c>
      <c r="E19" s="8">
        <v>220</v>
      </c>
      <c r="F19" s="35">
        <f t="shared" si="5"/>
        <v>45760</v>
      </c>
      <c r="G19" s="8" t="s">
        <v>18</v>
      </c>
      <c r="H19" s="4" t="s">
        <v>51</v>
      </c>
      <c r="I19" s="5" t="s">
        <v>6</v>
      </c>
      <c r="J19" s="34">
        <f t="shared" si="7"/>
        <v>9.3968531468531472E-2</v>
      </c>
      <c r="K19" s="10">
        <v>4300</v>
      </c>
      <c r="M19" s="11">
        <f t="shared" si="8"/>
        <v>1290</v>
      </c>
      <c r="O19" s="11">
        <f t="shared" si="10"/>
        <v>430</v>
      </c>
      <c r="Q19" s="11">
        <f t="shared" si="9"/>
        <v>43</v>
      </c>
      <c r="W19" s="26" t="s">
        <v>56</v>
      </c>
    </row>
    <row r="20" spans="1:23" ht="78" x14ac:dyDescent="0.3">
      <c r="A20" s="3">
        <v>14</v>
      </c>
      <c r="B20" s="29" t="s">
        <v>59</v>
      </c>
      <c r="C20" s="29">
        <v>2026</v>
      </c>
      <c r="D20" s="29">
        <v>52</v>
      </c>
      <c r="E20" s="29">
        <v>30</v>
      </c>
      <c r="F20" s="35">
        <f t="shared" si="5"/>
        <v>1560</v>
      </c>
      <c r="G20" s="29" t="s">
        <v>18</v>
      </c>
      <c r="H20" s="36" t="s">
        <v>65</v>
      </c>
      <c r="I20" s="5" t="s">
        <v>6</v>
      </c>
      <c r="J20" s="34">
        <v>0.11</v>
      </c>
      <c r="K20" s="10">
        <v>200</v>
      </c>
      <c r="M20" s="11">
        <f t="shared" si="8"/>
        <v>60</v>
      </c>
      <c r="O20" s="11">
        <f t="shared" si="10"/>
        <v>20</v>
      </c>
      <c r="Q20" s="11">
        <f t="shared" si="9"/>
        <v>2</v>
      </c>
      <c r="W20" s="26" t="s">
        <v>61</v>
      </c>
    </row>
    <row r="21" spans="1:23" ht="65" x14ac:dyDescent="0.3">
      <c r="A21" s="3">
        <v>15</v>
      </c>
      <c r="B21" s="29" t="s">
        <v>60</v>
      </c>
      <c r="C21" s="29">
        <v>2026</v>
      </c>
      <c r="D21" s="29">
        <v>24</v>
      </c>
      <c r="E21" s="29">
        <v>30</v>
      </c>
      <c r="F21" s="35">
        <f t="shared" si="5"/>
        <v>720</v>
      </c>
      <c r="G21" s="29" t="s">
        <v>18</v>
      </c>
      <c r="H21" s="36" t="s">
        <v>66</v>
      </c>
      <c r="I21" s="5" t="s">
        <v>6</v>
      </c>
      <c r="J21" s="34">
        <f>K21/F21</f>
        <v>0.1</v>
      </c>
      <c r="K21" s="10">
        <v>72</v>
      </c>
      <c r="M21" s="11">
        <f t="shared" si="8"/>
        <v>21.599999999999998</v>
      </c>
      <c r="O21" s="11">
        <f t="shared" si="10"/>
        <v>7.2</v>
      </c>
      <c r="Q21" s="11">
        <f t="shared" si="9"/>
        <v>0.72000000000000008</v>
      </c>
      <c r="W21" s="26" t="s">
        <v>62</v>
      </c>
    </row>
    <row r="22" spans="1:23" ht="104" x14ac:dyDescent="0.3">
      <c r="A22" s="37">
        <v>15</v>
      </c>
      <c r="B22" s="38" t="s">
        <v>63</v>
      </c>
      <c r="C22" s="38">
        <v>2026</v>
      </c>
      <c r="D22" s="38">
        <v>100</v>
      </c>
      <c r="E22" s="38">
        <v>100</v>
      </c>
      <c r="F22" s="39">
        <f t="shared" si="5"/>
        <v>10000</v>
      </c>
      <c r="G22" s="38" t="s">
        <v>18</v>
      </c>
      <c r="H22" s="40" t="s">
        <v>64</v>
      </c>
      <c r="I22" s="5" t="s">
        <v>6</v>
      </c>
      <c r="J22" s="34">
        <f>K22/F22</f>
        <v>0.11</v>
      </c>
      <c r="K22" s="10">
        <f>0.11*F22</f>
        <v>1100</v>
      </c>
      <c r="M22" s="11">
        <f t="shared" ref="M22" si="11">K22*30%</f>
        <v>330</v>
      </c>
      <c r="O22" s="11">
        <f t="shared" ref="O22" si="12">K22*10%</f>
        <v>110</v>
      </c>
      <c r="Q22" s="11">
        <f t="shared" ref="Q22" si="13">O22*10%</f>
        <v>11</v>
      </c>
      <c r="W22" s="26" t="s">
        <v>67</v>
      </c>
    </row>
    <row r="23" spans="1:23" x14ac:dyDescent="0.3">
      <c r="M23" s="11">
        <f t="shared" si="8"/>
        <v>0</v>
      </c>
      <c r="O23" s="11">
        <f t="shared" si="10"/>
        <v>0</v>
      </c>
      <c r="Q23" s="11">
        <f t="shared" si="9"/>
        <v>0</v>
      </c>
    </row>
    <row r="24" spans="1:23" x14ac:dyDescent="0.3">
      <c r="M24" s="11">
        <f t="shared" si="8"/>
        <v>0</v>
      </c>
      <c r="O24" s="11">
        <f t="shared" si="10"/>
        <v>0</v>
      </c>
      <c r="Q24" s="11">
        <f t="shared" si="9"/>
        <v>0</v>
      </c>
    </row>
    <row r="25" spans="1:23" x14ac:dyDescent="0.3">
      <c r="M25" s="11">
        <f t="shared" si="8"/>
        <v>0</v>
      </c>
      <c r="O25" s="11">
        <f t="shared" si="10"/>
        <v>0</v>
      </c>
      <c r="Q25" s="11">
        <f t="shared" si="9"/>
        <v>0</v>
      </c>
    </row>
    <row r="26" spans="1:23" x14ac:dyDescent="0.3">
      <c r="M26" s="11">
        <f t="shared" si="8"/>
        <v>0</v>
      </c>
      <c r="O26" s="11">
        <f t="shared" si="10"/>
        <v>0</v>
      </c>
      <c r="Q26" s="11">
        <f t="shared" si="9"/>
        <v>0</v>
      </c>
    </row>
    <row r="27" spans="1:23" x14ac:dyDescent="0.3">
      <c r="M27" s="11">
        <f t="shared" si="8"/>
        <v>0</v>
      </c>
      <c r="O27" s="11">
        <f t="shared" si="10"/>
        <v>0</v>
      </c>
      <c r="Q27" s="11">
        <f t="shared" si="9"/>
        <v>0</v>
      </c>
    </row>
    <row r="28" spans="1:23" x14ac:dyDescent="0.3">
      <c r="M28" s="11">
        <f t="shared" si="8"/>
        <v>0</v>
      </c>
      <c r="O28" s="11">
        <f t="shared" si="10"/>
        <v>0</v>
      </c>
      <c r="Q28" s="11">
        <f t="shared" si="9"/>
        <v>0</v>
      </c>
    </row>
    <row r="29" spans="1:23" x14ac:dyDescent="0.3">
      <c r="M29" s="11">
        <f t="shared" si="8"/>
        <v>0</v>
      </c>
      <c r="O29" s="11">
        <f t="shared" si="10"/>
        <v>0</v>
      </c>
      <c r="Q29" s="11">
        <f t="shared" si="9"/>
        <v>0</v>
      </c>
    </row>
    <row r="30" spans="1:23" x14ac:dyDescent="0.3">
      <c r="M30" s="11">
        <f t="shared" si="8"/>
        <v>0</v>
      </c>
      <c r="O30" s="11">
        <f t="shared" si="10"/>
        <v>0</v>
      </c>
      <c r="Q30" s="11">
        <f t="shared" si="9"/>
        <v>0</v>
      </c>
    </row>
    <row r="31" spans="1:23" x14ac:dyDescent="0.3">
      <c r="M31" s="11">
        <f t="shared" si="8"/>
        <v>0</v>
      </c>
      <c r="O31" s="11">
        <f t="shared" si="10"/>
        <v>0</v>
      </c>
      <c r="Q31" s="11">
        <f t="shared" si="9"/>
        <v>0</v>
      </c>
    </row>
    <row r="32" spans="1:23" x14ac:dyDescent="0.3">
      <c r="M32" s="11">
        <f t="shared" si="8"/>
        <v>0</v>
      </c>
      <c r="O32" s="11">
        <f t="shared" si="10"/>
        <v>0</v>
      </c>
      <c r="Q32" s="11">
        <f t="shared" si="9"/>
        <v>0</v>
      </c>
    </row>
    <row r="33" spans="13:17" x14ac:dyDescent="0.3">
      <c r="M33" s="11">
        <f t="shared" si="8"/>
        <v>0</v>
      </c>
      <c r="O33" s="11">
        <f t="shared" si="10"/>
        <v>0</v>
      </c>
      <c r="Q33" s="11">
        <f t="shared" si="9"/>
        <v>0</v>
      </c>
    </row>
    <row r="34" spans="13:17" x14ac:dyDescent="0.3">
      <c r="M34" s="11">
        <f t="shared" si="8"/>
        <v>0</v>
      </c>
      <c r="O34" s="11">
        <f t="shared" si="10"/>
        <v>0</v>
      </c>
      <c r="Q34" s="11">
        <f t="shared" si="9"/>
        <v>0</v>
      </c>
    </row>
    <row r="35" spans="13:17" x14ac:dyDescent="0.3">
      <c r="M35" s="11">
        <f t="shared" si="8"/>
        <v>0</v>
      </c>
      <c r="O35" s="11">
        <f t="shared" si="10"/>
        <v>0</v>
      </c>
      <c r="Q35" s="11">
        <f t="shared" si="9"/>
        <v>0</v>
      </c>
    </row>
    <row r="36" spans="13:17" x14ac:dyDescent="0.3">
      <c r="M36" s="11">
        <f t="shared" si="8"/>
        <v>0</v>
      </c>
      <c r="O36" s="11">
        <f t="shared" si="10"/>
        <v>0</v>
      </c>
      <c r="Q36" s="11">
        <f t="shared" si="9"/>
        <v>0</v>
      </c>
    </row>
    <row r="37" spans="13:17" x14ac:dyDescent="0.3">
      <c r="M37" s="11">
        <f t="shared" si="8"/>
        <v>0</v>
      </c>
      <c r="O37" s="11">
        <f t="shared" si="10"/>
        <v>0</v>
      </c>
      <c r="Q37" s="11">
        <f t="shared" si="9"/>
        <v>0</v>
      </c>
    </row>
    <row r="38" spans="13:17" x14ac:dyDescent="0.3">
      <c r="M38" s="11">
        <f t="shared" si="8"/>
        <v>0</v>
      </c>
      <c r="O38" s="11">
        <f t="shared" si="10"/>
        <v>0</v>
      </c>
      <c r="Q38" s="11">
        <f t="shared" si="9"/>
        <v>0</v>
      </c>
    </row>
    <row r="39" spans="13:17" x14ac:dyDescent="0.3">
      <c r="M39" s="11">
        <f t="shared" si="8"/>
        <v>0</v>
      </c>
      <c r="O39" s="11">
        <f t="shared" si="10"/>
        <v>0</v>
      </c>
      <c r="Q39" s="11">
        <f t="shared" si="9"/>
        <v>0</v>
      </c>
    </row>
    <row r="40" spans="13:17" x14ac:dyDescent="0.3">
      <c r="M40" s="11">
        <f t="shared" si="8"/>
        <v>0</v>
      </c>
      <c r="O40" s="11">
        <f t="shared" si="10"/>
        <v>0</v>
      </c>
      <c r="Q40" s="11">
        <f t="shared" si="9"/>
        <v>0</v>
      </c>
    </row>
    <row r="41" spans="13:17" x14ac:dyDescent="0.3">
      <c r="M41" s="11">
        <f t="shared" si="8"/>
        <v>0</v>
      </c>
      <c r="O41" s="11">
        <f t="shared" si="10"/>
        <v>0</v>
      </c>
      <c r="Q41" s="11">
        <f t="shared" si="9"/>
        <v>0</v>
      </c>
    </row>
    <row r="42" spans="13:17" x14ac:dyDescent="0.3">
      <c r="M42" s="11">
        <f t="shared" si="8"/>
        <v>0</v>
      </c>
      <c r="O42" s="11">
        <f t="shared" si="10"/>
        <v>0</v>
      </c>
      <c r="Q42" s="11">
        <f t="shared" si="9"/>
        <v>0</v>
      </c>
    </row>
    <row r="43" spans="13:17" x14ac:dyDescent="0.3">
      <c r="M43" s="11">
        <f t="shared" si="8"/>
        <v>0</v>
      </c>
      <c r="O43" s="11">
        <f t="shared" si="10"/>
        <v>0</v>
      </c>
      <c r="Q43" s="11">
        <f t="shared" si="9"/>
        <v>0</v>
      </c>
    </row>
    <row r="44" spans="13:17" x14ac:dyDescent="0.3">
      <c r="M44" s="11">
        <f t="shared" si="8"/>
        <v>0</v>
      </c>
      <c r="O44" s="11">
        <f t="shared" si="10"/>
        <v>0</v>
      </c>
      <c r="Q44" s="11">
        <f t="shared" si="9"/>
        <v>0</v>
      </c>
    </row>
    <row r="45" spans="13:17" x14ac:dyDescent="0.3">
      <c r="M45" s="11">
        <f t="shared" si="8"/>
        <v>0</v>
      </c>
      <c r="O45" s="11">
        <f t="shared" si="10"/>
        <v>0</v>
      </c>
      <c r="Q45" s="11">
        <f t="shared" si="9"/>
        <v>0</v>
      </c>
    </row>
    <row r="46" spans="13:17" x14ac:dyDescent="0.3">
      <c r="M46" s="11">
        <f t="shared" si="8"/>
        <v>0</v>
      </c>
      <c r="O46" s="11">
        <f t="shared" si="10"/>
        <v>0</v>
      </c>
      <c r="Q46" s="11">
        <f t="shared" si="9"/>
        <v>0</v>
      </c>
    </row>
    <row r="47" spans="13:17" x14ac:dyDescent="0.3">
      <c r="M47" s="11">
        <f t="shared" ref="M47:M75" si="14">K47*30%</f>
        <v>0</v>
      </c>
      <c r="O47" s="11">
        <f t="shared" si="10"/>
        <v>0</v>
      </c>
      <c r="Q47" s="11">
        <f t="shared" ref="Q47:Q75" si="15">O47*10%</f>
        <v>0</v>
      </c>
    </row>
    <row r="48" spans="13:17" x14ac:dyDescent="0.3">
      <c r="M48" s="11">
        <f t="shared" si="14"/>
        <v>0</v>
      </c>
      <c r="O48" s="11">
        <f t="shared" si="10"/>
        <v>0</v>
      </c>
      <c r="Q48" s="11">
        <f t="shared" si="15"/>
        <v>0</v>
      </c>
    </row>
    <row r="49" spans="13:17" x14ac:dyDescent="0.3">
      <c r="M49" s="11">
        <f t="shared" si="14"/>
        <v>0</v>
      </c>
      <c r="O49" s="11">
        <f t="shared" ref="O49:O80" si="16">K49*10%</f>
        <v>0</v>
      </c>
      <c r="Q49" s="11">
        <f t="shared" si="15"/>
        <v>0</v>
      </c>
    </row>
    <row r="50" spans="13:17" x14ac:dyDescent="0.3">
      <c r="M50" s="11">
        <f t="shared" si="14"/>
        <v>0</v>
      </c>
      <c r="O50" s="11">
        <f t="shared" si="16"/>
        <v>0</v>
      </c>
      <c r="Q50" s="11">
        <f t="shared" si="15"/>
        <v>0</v>
      </c>
    </row>
    <row r="51" spans="13:17" x14ac:dyDescent="0.3">
      <c r="M51" s="11">
        <f t="shared" si="14"/>
        <v>0</v>
      </c>
      <c r="O51" s="11">
        <f t="shared" si="16"/>
        <v>0</v>
      </c>
      <c r="Q51" s="11">
        <f t="shared" si="15"/>
        <v>0</v>
      </c>
    </row>
    <row r="52" spans="13:17" x14ac:dyDescent="0.3">
      <c r="M52" s="11">
        <f t="shared" si="14"/>
        <v>0</v>
      </c>
      <c r="O52" s="11">
        <f t="shared" si="16"/>
        <v>0</v>
      </c>
      <c r="Q52" s="11">
        <f t="shared" si="15"/>
        <v>0</v>
      </c>
    </row>
    <row r="53" spans="13:17" x14ac:dyDescent="0.3">
      <c r="M53" s="11">
        <f t="shared" si="14"/>
        <v>0</v>
      </c>
      <c r="O53" s="11">
        <f t="shared" si="16"/>
        <v>0</v>
      </c>
      <c r="Q53" s="11">
        <f t="shared" si="15"/>
        <v>0</v>
      </c>
    </row>
    <row r="54" spans="13:17" x14ac:dyDescent="0.3">
      <c r="M54" s="11">
        <f t="shared" si="14"/>
        <v>0</v>
      </c>
      <c r="O54" s="11">
        <f t="shared" si="16"/>
        <v>0</v>
      </c>
      <c r="Q54" s="11">
        <f t="shared" si="15"/>
        <v>0</v>
      </c>
    </row>
    <row r="55" spans="13:17" x14ac:dyDescent="0.3">
      <c r="M55" s="11">
        <f t="shared" si="14"/>
        <v>0</v>
      </c>
      <c r="O55" s="11">
        <f t="shared" si="16"/>
        <v>0</v>
      </c>
      <c r="Q55" s="11">
        <f t="shared" si="15"/>
        <v>0</v>
      </c>
    </row>
    <row r="56" spans="13:17" x14ac:dyDescent="0.3">
      <c r="M56" s="11">
        <f t="shared" si="14"/>
        <v>0</v>
      </c>
      <c r="O56" s="11">
        <f t="shared" si="16"/>
        <v>0</v>
      </c>
      <c r="Q56" s="11">
        <f t="shared" si="15"/>
        <v>0</v>
      </c>
    </row>
    <row r="57" spans="13:17" x14ac:dyDescent="0.3">
      <c r="M57" s="11">
        <f t="shared" si="14"/>
        <v>0</v>
      </c>
      <c r="O57" s="11">
        <f t="shared" si="16"/>
        <v>0</v>
      </c>
      <c r="Q57" s="11">
        <f t="shared" si="15"/>
        <v>0</v>
      </c>
    </row>
    <row r="58" spans="13:17" x14ac:dyDescent="0.3">
      <c r="M58" s="11">
        <f t="shared" si="14"/>
        <v>0</v>
      </c>
      <c r="O58" s="11">
        <f t="shared" si="16"/>
        <v>0</v>
      </c>
      <c r="Q58" s="11">
        <f t="shared" si="15"/>
        <v>0</v>
      </c>
    </row>
    <row r="59" spans="13:17" x14ac:dyDescent="0.3">
      <c r="M59" s="11">
        <f t="shared" si="14"/>
        <v>0</v>
      </c>
      <c r="O59" s="11">
        <f t="shared" si="16"/>
        <v>0</v>
      </c>
      <c r="Q59" s="11">
        <f t="shared" si="15"/>
        <v>0</v>
      </c>
    </row>
    <row r="60" spans="13:17" x14ac:dyDescent="0.3">
      <c r="M60" s="11">
        <f t="shared" si="14"/>
        <v>0</v>
      </c>
      <c r="O60" s="11">
        <f t="shared" si="16"/>
        <v>0</v>
      </c>
      <c r="Q60" s="11">
        <f t="shared" si="15"/>
        <v>0</v>
      </c>
    </row>
    <row r="61" spans="13:17" x14ac:dyDescent="0.3">
      <c r="M61" s="11">
        <f t="shared" si="14"/>
        <v>0</v>
      </c>
      <c r="O61" s="11">
        <f t="shared" si="16"/>
        <v>0</v>
      </c>
      <c r="Q61" s="11">
        <f t="shared" si="15"/>
        <v>0</v>
      </c>
    </row>
    <row r="62" spans="13:17" x14ac:dyDescent="0.3">
      <c r="M62" s="11">
        <f t="shared" si="14"/>
        <v>0</v>
      </c>
      <c r="O62" s="11">
        <f t="shared" si="16"/>
        <v>0</v>
      </c>
      <c r="Q62" s="11">
        <f t="shared" si="15"/>
        <v>0</v>
      </c>
    </row>
    <row r="63" spans="13:17" x14ac:dyDescent="0.3">
      <c r="M63" s="11">
        <f t="shared" si="14"/>
        <v>0</v>
      </c>
      <c r="O63" s="11">
        <f t="shared" si="16"/>
        <v>0</v>
      </c>
      <c r="Q63" s="11">
        <f t="shared" si="15"/>
        <v>0</v>
      </c>
    </row>
    <row r="64" spans="13:17" x14ac:dyDescent="0.3">
      <c r="M64" s="11">
        <f t="shared" si="14"/>
        <v>0</v>
      </c>
      <c r="O64" s="11">
        <f t="shared" si="16"/>
        <v>0</v>
      </c>
      <c r="Q64" s="11">
        <f t="shared" si="15"/>
        <v>0</v>
      </c>
    </row>
    <row r="65" spans="13:17" x14ac:dyDescent="0.3">
      <c r="M65" s="11">
        <f t="shared" si="14"/>
        <v>0</v>
      </c>
      <c r="O65" s="11">
        <f t="shared" si="16"/>
        <v>0</v>
      </c>
      <c r="Q65" s="11">
        <f t="shared" si="15"/>
        <v>0</v>
      </c>
    </row>
    <row r="66" spans="13:17" x14ac:dyDescent="0.3">
      <c r="M66" s="11">
        <f t="shared" si="14"/>
        <v>0</v>
      </c>
      <c r="O66" s="11">
        <f t="shared" si="16"/>
        <v>0</v>
      </c>
      <c r="Q66" s="11">
        <f t="shared" si="15"/>
        <v>0</v>
      </c>
    </row>
    <row r="67" spans="13:17" x14ac:dyDescent="0.3">
      <c r="M67" s="11">
        <f t="shared" si="14"/>
        <v>0</v>
      </c>
      <c r="O67" s="11">
        <f t="shared" si="16"/>
        <v>0</v>
      </c>
      <c r="Q67" s="11">
        <f t="shared" si="15"/>
        <v>0</v>
      </c>
    </row>
    <row r="68" spans="13:17" x14ac:dyDescent="0.3">
      <c r="M68" s="11">
        <f t="shared" si="14"/>
        <v>0</v>
      </c>
      <c r="O68" s="11">
        <f t="shared" si="16"/>
        <v>0</v>
      </c>
      <c r="Q68" s="11">
        <f t="shared" si="15"/>
        <v>0</v>
      </c>
    </row>
    <row r="69" spans="13:17" x14ac:dyDescent="0.3">
      <c r="M69" s="11">
        <f t="shared" si="14"/>
        <v>0</v>
      </c>
      <c r="O69" s="11">
        <f t="shared" si="16"/>
        <v>0</v>
      </c>
      <c r="Q69" s="11">
        <f t="shared" si="15"/>
        <v>0</v>
      </c>
    </row>
    <row r="70" spans="13:17" x14ac:dyDescent="0.3">
      <c r="M70" s="11">
        <f t="shared" si="14"/>
        <v>0</v>
      </c>
      <c r="O70" s="11">
        <f t="shared" si="16"/>
        <v>0</v>
      </c>
      <c r="Q70" s="11">
        <f t="shared" si="15"/>
        <v>0</v>
      </c>
    </row>
    <row r="71" spans="13:17" x14ac:dyDescent="0.3">
      <c r="M71" s="11">
        <f t="shared" si="14"/>
        <v>0</v>
      </c>
      <c r="O71" s="11">
        <f t="shared" si="16"/>
        <v>0</v>
      </c>
      <c r="Q71" s="11">
        <f t="shared" si="15"/>
        <v>0</v>
      </c>
    </row>
    <row r="72" spans="13:17" x14ac:dyDescent="0.3">
      <c r="M72" s="11">
        <f t="shared" si="14"/>
        <v>0</v>
      </c>
      <c r="O72" s="11">
        <f t="shared" si="16"/>
        <v>0</v>
      </c>
      <c r="Q72" s="11">
        <f t="shared" si="15"/>
        <v>0</v>
      </c>
    </row>
    <row r="73" spans="13:17" x14ac:dyDescent="0.3">
      <c r="M73" s="11">
        <f t="shared" si="14"/>
        <v>0</v>
      </c>
      <c r="O73" s="11">
        <f t="shared" si="16"/>
        <v>0</v>
      </c>
      <c r="Q73" s="11">
        <f t="shared" si="15"/>
        <v>0</v>
      </c>
    </row>
    <row r="74" spans="13:17" x14ac:dyDescent="0.3">
      <c r="M74" s="11">
        <f t="shared" si="14"/>
        <v>0</v>
      </c>
      <c r="O74" s="11">
        <f t="shared" si="16"/>
        <v>0</v>
      </c>
      <c r="Q74" s="11">
        <f t="shared" si="15"/>
        <v>0</v>
      </c>
    </row>
    <row r="75" spans="13:17" x14ac:dyDescent="0.3">
      <c r="M75" s="11">
        <f t="shared" si="14"/>
        <v>0</v>
      </c>
      <c r="O75" s="11">
        <f t="shared" si="16"/>
        <v>0</v>
      </c>
      <c r="Q75" s="11">
        <f t="shared" si="15"/>
        <v>0</v>
      </c>
    </row>
    <row r="76" spans="13:17" x14ac:dyDescent="0.3">
      <c r="M76" s="11">
        <f t="shared" ref="M76:M139" si="17">K76*30%</f>
        <v>0</v>
      </c>
      <c r="O76" s="11">
        <f t="shared" si="16"/>
        <v>0</v>
      </c>
      <c r="Q76" s="11">
        <f t="shared" ref="Q76:Q139" si="18">O76*10%</f>
        <v>0</v>
      </c>
    </row>
    <row r="77" spans="13:17" x14ac:dyDescent="0.3">
      <c r="M77" s="11">
        <f t="shared" si="17"/>
        <v>0</v>
      </c>
      <c r="O77" s="11">
        <f t="shared" si="16"/>
        <v>0</v>
      </c>
      <c r="Q77" s="11">
        <f t="shared" si="18"/>
        <v>0</v>
      </c>
    </row>
    <row r="78" spans="13:17" x14ac:dyDescent="0.3">
      <c r="M78" s="11">
        <f t="shared" si="17"/>
        <v>0</v>
      </c>
      <c r="O78" s="11">
        <f t="shared" si="16"/>
        <v>0</v>
      </c>
      <c r="Q78" s="11">
        <f t="shared" si="18"/>
        <v>0</v>
      </c>
    </row>
    <row r="79" spans="13:17" x14ac:dyDescent="0.3">
      <c r="M79" s="11">
        <f t="shared" si="17"/>
        <v>0</v>
      </c>
      <c r="O79" s="11">
        <f t="shared" si="16"/>
        <v>0</v>
      </c>
      <c r="Q79" s="11">
        <f t="shared" si="18"/>
        <v>0</v>
      </c>
    </row>
    <row r="80" spans="13:17" x14ac:dyDescent="0.3">
      <c r="M80" s="11">
        <f t="shared" si="17"/>
        <v>0</v>
      </c>
      <c r="O80" s="11">
        <f t="shared" si="16"/>
        <v>0</v>
      </c>
      <c r="Q80" s="11">
        <f t="shared" si="18"/>
        <v>0</v>
      </c>
    </row>
    <row r="81" spans="13:17" x14ac:dyDescent="0.3">
      <c r="M81" s="11">
        <f t="shared" si="17"/>
        <v>0</v>
      </c>
      <c r="O81" s="11">
        <f t="shared" ref="O81:O144" si="19">K81*10%</f>
        <v>0</v>
      </c>
      <c r="Q81" s="11">
        <f t="shared" si="18"/>
        <v>0</v>
      </c>
    </row>
    <row r="82" spans="13:17" x14ac:dyDescent="0.3">
      <c r="M82" s="11">
        <f t="shared" si="17"/>
        <v>0</v>
      </c>
      <c r="O82" s="11">
        <f t="shared" si="19"/>
        <v>0</v>
      </c>
      <c r="Q82" s="11">
        <f t="shared" si="18"/>
        <v>0</v>
      </c>
    </row>
    <row r="83" spans="13:17" x14ac:dyDescent="0.3">
      <c r="M83" s="11">
        <f t="shared" si="17"/>
        <v>0</v>
      </c>
      <c r="O83" s="11">
        <f t="shared" si="19"/>
        <v>0</v>
      </c>
      <c r="Q83" s="11">
        <f t="shared" si="18"/>
        <v>0</v>
      </c>
    </row>
    <row r="84" spans="13:17" x14ac:dyDescent="0.3">
      <c r="M84" s="11">
        <f t="shared" si="17"/>
        <v>0</v>
      </c>
      <c r="O84" s="11">
        <f t="shared" si="19"/>
        <v>0</v>
      </c>
      <c r="Q84" s="11">
        <f t="shared" si="18"/>
        <v>0</v>
      </c>
    </row>
    <row r="85" spans="13:17" x14ac:dyDescent="0.3">
      <c r="M85" s="11">
        <f t="shared" si="17"/>
        <v>0</v>
      </c>
      <c r="O85" s="11">
        <f t="shared" si="19"/>
        <v>0</v>
      </c>
      <c r="Q85" s="11">
        <f t="shared" si="18"/>
        <v>0</v>
      </c>
    </row>
    <row r="86" spans="13:17" x14ac:dyDescent="0.3">
      <c r="M86" s="11">
        <f t="shared" si="17"/>
        <v>0</v>
      </c>
      <c r="O86" s="11">
        <f t="shared" si="19"/>
        <v>0</v>
      </c>
      <c r="Q86" s="11">
        <f t="shared" si="18"/>
        <v>0</v>
      </c>
    </row>
    <row r="87" spans="13:17" x14ac:dyDescent="0.3">
      <c r="M87" s="11">
        <f t="shared" si="17"/>
        <v>0</v>
      </c>
      <c r="O87" s="11">
        <f t="shared" si="19"/>
        <v>0</v>
      </c>
      <c r="Q87" s="11">
        <f t="shared" si="18"/>
        <v>0</v>
      </c>
    </row>
    <row r="88" spans="13:17" x14ac:dyDescent="0.3">
      <c r="M88" s="11">
        <f t="shared" si="17"/>
        <v>0</v>
      </c>
      <c r="O88" s="11">
        <f t="shared" si="19"/>
        <v>0</v>
      </c>
      <c r="Q88" s="11">
        <f t="shared" si="18"/>
        <v>0</v>
      </c>
    </row>
    <row r="89" spans="13:17" x14ac:dyDescent="0.3">
      <c r="M89" s="11">
        <f t="shared" si="17"/>
        <v>0</v>
      </c>
      <c r="O89" s="11">
        <f t="shared" si="19"/>
        <v>0</v>
      </c>
      <c r="Q89" s="11">
        <f t="shared" si="18"/>
        <v>0</v>
      </c>
    </row>
    <row r="90" spans="13:17" x14ac:dyDescent="0.3">
      <c r="M90" s="11">
        <f t="shared" si="17"/>
        <v>0</v>
      </c>
      <c r="O90" s="11">
        <f t="shared" si="19"/>
        <v>0</v>
      </c>
      <c r="Q90" s="11">
        <f t="shared" si="18"/>
        <v>0</v>
      </c>
    </row>
    <row r="91" spans="13:17" x14ac:dyDescent="0.3">
      <c r="M91" s="11">
        <f t="shared" si="17"/>
        <v>0</v>
      </c>
      <c r="O91" s="11">
        <f t="shared" si="19"/>
        <v>0</v>
      </c>
      <c r="Q91" s="11">
        <f t="shared" si="18"/>
        <v>0</v>
      </c>
    </row>
    <row r="92" spans="13:17" x14ac:dyDescent="0.3">
      <c r="M92" s="11">
        <f t="shared" si="17"/>
        <v>0</v>
      </c>
      <c r="O92" s="11">
        <f t="shared" si="19"/>
        <v>0</v>
      </c>
      <c r="Q92" s="11">
        <f t="shared" si="18"/>
        <v>0</v>
      </c>
    </row>
    <row r="93" spans="13:17" x14ac:dyDescent="0.3">
      <c r="M93" s="11">
        <f t="shared" si="17"/>
        <v>0</v>
      </c>
      <c r="O93" s="11">
        <f t="shared" si="19"/>
        <v>0</v>
      </c>
      <c r="Q93" s="11">
        <f t="shared" si="18"/>
        <v>0</v>
      </c>
    </row>
    <row r="94" spans="13:17" x14ac:dyDescent="0.3">
      <c r="M94" s="11">
        <f t="shared" si="17"/>
        <v>0</v>
      </c>
      <c r="O94" s="11">
        <f t="shared" si="19"/>
        <v>0</v>
      </c>
      <c r="Q94" s="11">
        <f t="shared" si="18"/>
        <v>0</v>
      </c>
    </row>
    <row r="95" spans="13:17" x14ac:dyDescent="0.3">
      <c r="M95" s="11">
        <f t="shared" si="17"/>
        <v>0</v>
      </c>
      <c r="O95" s="11">
        <f t="shared" si="19"/>
        <v>0</v>
      </c>
      <c r="Q95" s="11">
        <f t="shared" si="18"/>
        <v>0</v>
      </c>
    </row>
    <row r="96" spans="13:17" x14ac:dyDescent="0.3">
      <c r="M96" s="11">
        <f t="shared" si="17"/>
        <v>0</v>
      </c>
      <c r="O96" s="11">
        <f t="shared" si="19"/>
        <v>0</v>
      </c>
      <c r="Q96" s="11">
        <f t="shared" si="18"/>
        <v>0</v>
      </c>
    </row>
    <row r="97" spans="13:17" x14ac:dyDescent="0.3">
      <c r="M97" s="11">
        <f t="shared" si="17"/>
        <v>0</v>
      </c>
      <c r="O97" s="11">
        <f t="shared" si="19"/>
        <v>0</v>
      </c>
      <c r="Q97" s="11">
        <f t="shared" si="18"/>
        <v>0</v>
      </c>
    </row>
    <row r="98" spans="13:17" x14ac:dyDescent="0.3">
      <c r="M98" s="11">
        <f t="shared" si="17"/>
        <v>0</v>
      </c>
      <c r="O98" s="11">
        <f t="shared" si="19"/>
        <v>0</v>
      </c>
      <c r="Q98" s="11">
        <f t="shared" si="18"/>
        <v>0</v>
      </c>
    </row>
    <row r="99" spans="13:17" x14ac:dyDescent="0.3">
      <c r="M99" s="11">
        <f t="shared" si="17"/>
        <v>0</v>
      </c>
      <c r="O99" s="11">
        <f t="shared" si="19"/>
        <v>0</v>
      </c>
      <c r="Q99" s="11">
        <f t="shared" si="18"/>
        <v>0</v>
      </c>
    </row>
    <row r="100" spans="13:17" x14ac:dyDescent="0.3">
      <c r="M100" s="11">
        <f t="shared" si="17"/>
        <v>0</v>
      </c>
      <c r="O100" s="11">
        <f t="shared" si="19"/>
        <v>0</v>
      </c>
      <c r="Q100" s="11">
        <f t="shared" si="18"/>
        <v>0</v>
      </c>
    </row>
    <row r="101" spans="13:17" x14ac:dyDescent="0.3">
      <c r="M101" s="11">
        <f t="shared" si="17"/>
        <v>0</v>
      </c>
      <c r="O101" s="11">
        <f t="shared" si="19"/>
        <v>0</v>
      </c>
      <c r="Q101" s="11">
        <f t="shared" si="18"/>
        <v>0</v>
      </c>
    </row>
    <row r="102" spans="13:17" x14ac:dyDescent="0.3">
      <c r="M102" s="11">
        <f t="shared" si="17"/>
        <v>0</v>
      </c>
      <c r="O102" s="11">
        <f t="shared" si="19"/>
        <v>0</v>
      </c>
      <c r="Q102" s="11">
        <f t="shared" si="18"/>
        <v>0</v>
      </c>
    </row>
    <row r="103" spans="13:17" x14ac:dyDescent="0.3">
      <c r="M103" s="11">
        <f t="shared" si="17"/>
        <v>0</v>
      </c>
      <c r="O103" s="11">
        <f t="shared" si="19"/>
        <v>0</v>
      </c>
      <c r="Q103" s="11">
        <f t="shared" si="18"/>
        <v>0</v>
      </c>
    </row>
    <row r="104" spans="13:17" x14ac:dyDescent="0.3">
      <c r="M104" s="11">
        <f t="shared" si="17"/>
        <v>0</v>
      </c>
      <c r="O104" s="11">
        <f t="shared" si="19"/>
        <v>0</v>
      </c>
      <c r="Q104" s="11">
        <f t="shared" si="18"/>
        <v>0</v>
      </c>
    </row>
    <row r="105" spans="13:17" x14ac:dyDescent="0.3">
      <c r="M105" s="11">
        <f t="shared" si="17"/>
        <v>0</v>
      </c>
      <c r="O105" s="11">
        <f t="shared" si="19"/>
        <v>0</v>
      </c>
      <c r="Q105" s="11">
        <f t="shared" si="18"/>
        <v>0</v>
      </c>
    </row>
    <row r="106" spans="13:17" x14ac:dyDescent="0.3">
      <c r="M106" s="11">
        <f t="shared" si="17"/>
        <v>0</v>
      </c>
      <c r="O106" s="11">
        <f t="shared" si="19"/>
        <v>0</v>
      </c>
      <c r="Q106" s="11">
        <f t="shared" si="18"/>
        <v>0</v>
      </c>
    </row>
    <row r="107" spans="13:17" x14ac:dyDescent="0.3">
      <c r="M107" s="11">
        <f t="shared" si="17"/>
        <v>0</v>
      </c>
      <c r="O107" s="11">
        <f t="shared" si="19"/>
        <v>0</v>
      </c>
      <c r="Q107" s="11">
        <f t="shared" si="18"/>
        <v>0</v>
      </c>
    </row>
    <row r="108" spans="13:17" x14ac:dyDescent="0.3">
      <c r="M108" s="11">
        <f t="shared" si="17"/>
        <v>0</v>
      </c>
      <c r="O108" s="11">
        <f t="shared" si="19"/>
        <v>0</v>
      </c>
      <c r="Q108" s="11">
        <f t="shared" si="18"/>
        <v>0</v>
      </c>
    </row>
    <row r="109" spans="13:17" x14ac:dyDescent="0.3">
      <c r="M109" s="11">
        <f t="shared" si="17"/>
        <v>0</v>
      </c>
      <c r="O109" s="11">
        <f t="shared" si="19"/>
        <v>0</v>
      </c>
      <c r="Q109" s="11">
        <f t="shared" si="18"/>
        <v>0</v>
      </c>
    </row>
    <row r="110" spans="13:17" x14ac:dyDescent="0.3">
      <c r="M110" s="11">
        <f t="shared" si="17"/>
        <v>0</v>
      </c>
      <c r="O110" s="11">
        <f t="shared" si="19"/>
        <v>0</v>
      </c>
      <c r="Q110" s="11">
        <f t="shared" si="18"/>
        <v>0</v>
      </c>
    </row>
    <row r="111" spans="13:17" x14ac:dyDescent="0.3">
      <c r="M111" s="11">
        <f t="shared" si="17"/>
        <v>0</v>
      </c>
      <c r="O111" s="11">
        <f t="shared" si="19"/>
        <v>0</v>
      </c>
      <c r="Q111" s="11">
        <f t="shared" si="18"/>
        <v>0</v>
      </c>
    </row>
    <row r="112" spans="13:17" x14ac:dyDescent="0.3">
      <c r="M112" s="11">
        <f t="shared" si="17"/>
        <v>0</v>
      </c>
      <c r="O112" s="11">
        <f t="shared" si="19"/>
        <v>0</v>
      </c>
      <c r="Q112" s="11">
        <f t="shared" si="18"/>
        <v>0</v>
      </c>
    </row>
    <row r="113" spans="13:17" x14ac:dyDescent="0.3">
      <c r="M113" s="11">
        <f t="shared" si="17"/>
        <v>0</v>
      </c>
      <c r="O113" s="11">
        <f t="shared" si="19"/>
        <v>0</v>
      </c>
      <c r="Q113" s="11">
        <f t="shared" si="18"/>
        <v>0</v>
      </c>
    </row>
    <row r="114" spans="13:17" x14ac:dyDescent="0.3">
      <c r="M114" s="11">
        <f t="shared" si="17"/>
        <v>0</v>
      </c>
      <c r="O114" s="11">
        <f t="shared" si="19"/>
        <v>0</v>
      </c>
      <c r="Q114" s="11">
        <f t="shared" si="18"/>
        <v>0</v>
      </c>
    </row>
    <row r="115" spans="13:17" x14ac:dyDescent="0.3">
      <c r="M115" s="11">
        <f t="shared" si="17"/>
        <v>0</v>
      </c>
      <c r="O115" s="11">
        <f t="shared" si="19"/>
        <v>0</v>
      </c>
      <c r="Q115" s="11">
        <f t="shared" si="18"/>
        <v>0</v>
      </c>
    </row>
    <row r="116" spans="13:17" x14ac:dyDescent="0.3">
      <c r="M116" s="11">
        <f t="shared" si="17"/>
        <v>0</v>
      </c>
      <c r="O116" s="11">
        <f t="shared" si="19"/>
        <v>0</v>
      </c>
      <c r="Q116" s="11">
        <f t="shared" si="18"/>
        <v>0</v>
      </c>
    </row>
    <row r="117" spans="13:17" x14ac:dyDescent="0.3">
      <c r="M117" s="11">
        <f t="shared" si="17"/>
        <v>0</v>
      </c>
      <c r="O117" s="11">
        <f t="shared" si="19"/>
        <v>0</v>
      </c>
      <c r="Q117" s="11">
        <f t="shared" si="18"/>
        <v>0</v>
      </c>
    </row>
    <row r="118" spans="13:17" x14ac:dyDescent="0.3">
      <c r="M118" s="11">
        <f t="shared" si="17"/>
        <v>0</v>
      </c>
      <c r="O118" s="11">
        <f t="shared" si="19"/>
        <v>0</v>
      </c>
      <c r="Q118" s="11">
        <f t="shared" si="18"/>
        <v>0</v>
      </c>
    </row>
    <row r="119" spans="13:17" x14ac:dyDescent="0.3">
      <c r="M119" s="11">
        <f t="shared" si="17"/>
        <v>0</v>
      </c>
      <c r="O119" s="11">
        <f t="shared" si="19"/>
        <v>0</v>
      </c>
      <c r="Q119" s="11">
        <f t="shared" si="18"/>
        <v>0</v>
      </c>
    </row>
    <row r="120" spans="13:17" x14ac:dyDescent="0.3">
      <c r="M120" s="11">
        <f t="shared" si="17"/>
        <v>0</v>
      </c>
      <c r="O120" s="11">
        <f t="shared" si="19"/>
        <v>0</v>
      </c>
      <c r="Q120" s="11">
        <f t="shared" si="18"/>
        <v>0</v>
      </c>
    </row>
    <row r="121" spans="13:17" x14ac:dyDescent="0.3">
      <c r="M121" s="11">
        <f t="shared" si="17"/>
        <v>0</v>
      </c>
      <c r="O121" s="11">
        <f t="shared" si="19"/>
        <v>0</v>
      </c>
      <c r="Q121" s="11">
        <f t="shared" si="18"/>
        <v>0</v>
      </c>
    </row>
    <row r="122" spans="13:17" x14ac:dyDescent="0.3">
      <c r="M122" s="11">
        <f t="shared" si="17"/>
        <v>0</v>
      </c>
      <c r="O122" s="11">
        <f t="shared" si="19"/>
        <v>0</v>
      </c>
      <c r="Q122" s="11">
        <f t="shared" si="18"/>
        <v>0</v>
      </c>
    </row>
    <row r="123" spans="13:17" x14ac:dyDescent="0.3">
      <c r="M123" s="11">
        <f t="shared" si="17"/>
        <v>0</v>
      </c>
      <c r="O123" s="11">
        <f t="shared" si="19"/>
        <v>0</v>
      </c>
      <c r="Q123" s="11">
        <f t="shared" si="18"/>
        <v>0</v>
      </c>
    </row>
    <row r="124" spans="13:17" x14ac:dyDescent="0.3">
      <c r="M124" s="11">
        <f t="shared" si="17"/>
        <v>0</v>
      </c>
      <c r="O124" s="11">
        <f t="shared" si="19"/>
        <v>0</v>
      </c>
      <c r="Q124" s="11">
        <f t="shared" si="18"/>
        <v>0</v>
      </c>
    </row>
    <row r="125" spans="13:17" x14ac:dyDescent="0.3">
      <c r="M125" s="11">
        <f t="shared" si="17"/>
        <v>0</v>
      </c>
      <c r="O125" s="11">
        <f t="shared" si="19"/>
        <v>0</v>
      </c>
      <c r="Q125" s="11">
        <f t="shared" si="18"/>
        <v>0</v>
      </c>
    </row>
    <row r="126" spans="13:17" x14ac:dyDescent="0.3">
      <c r="M126" s="11">
        <f t="shared" si="17"/>
        <v>0</v>
      </c>
      <c r="O126" s="11">
        <f t="shared" si="19"/>
        <v>0</v>
      </c>
      <c r="Q126" s="11">
        <f t="shared" si="18"/>
        <v>0</v>
      </c>
    </row>
    <row r="127" spans="13:17" x14ac:dyDescent="0.3">
      <c r="M127" s="11">
        <f t="shared" si="17"/>
        <v>0</v>
      </c>
      <c r="O127" s="11">
        <f t="shared" si="19"/>
        <v>0</v>
      </c>
      <c r="Q127" s="11">
        <f t="shared" si="18"/>
        <v>0</v>
      </c>
    </row>
    <row r="128" spans="13:17" x14ac:dyDescent="0.3">
      <c r="M128" s="11">
        <f t="shared" si="17"/>
        <v>0</v>
      </c>
      <c r="O128" s="11">
        <f t="shared" si="19"/>
        <v>0</v>
      </c>
      <c r="Q128" s="11">
        <f t="shared" si="18"/>
        <v>0</v>
      </c>
    </row>
    <row r="129" spans="13:17" x14ac:dyDescent="0.3">
      <c r="M129" s="11">
        <f t="shared" si="17"/>
        <v>0</v>
      </c>
      <c r="O129" s="11">
        <f t="shared" si="19"/>
        <v>0</v>
      </c>
      <c r="Q129" s="11">
        <f t="shared" si="18"/>
        <v>0</v>
      </c>
    </row>
    <row r="130" spans="13:17" x14ac:dyDescent="0.3">
      <c r="M130" s="11">
        <f t="shared" si="17"/>
        <v>0</v>
      </c>
      <c r="O130" s="11">
        <f t="shared" si="19"/>
        <v>0</v>
      </c>
      <c r="Q130" s="11">
        <f t="shared" si="18"/>
        <v>0</v>
      </c>
    </row>
    <row r="131" spans="13:17" x14ac:dyDescent="0.3">
      <c r="M131" s="11">
        <f t="shared" si="17"/>
        <v>0</v>
      </c>
      <c r="O131" s="11">
        <f t="shared" si="19"/>
        <v>0</v>
      </c>
      <c r="Q131" s="11">
        <f t="shared" si="18"/>
        <v>0</v>
      </c>
    </row>
    <row r="132" spans="13:17" x14ac:dyDescent="0.3">
      <c r="M132" s="11">
        <f t="shared" si="17"/>
        <v>0</v>
      </c>
      <c r="O132" s="11">
        <f t="shared" si="19"/>
        <v>0</v>
      </c>
      <c r="Q132" s="11">
        <f t="shared" si="18"/>
        <v>0</v>
      </c>
    </row>
    <row r="133" spans="13:17" x14ac:dyDescent="0.3">
      <c r="M133" s="11">
        <f t="shared" si="17"/>
        <v>0</v>
      </c>
      <c r="O133" s="11">
        <f t="shared" si="19"/>
        <v>0</v>
      </c>
      <c r="Q133" s="11">
        <f t="shared" si="18"/>
        <v>0</v>
      </c>
    </row>
    <row r="134" spans="13:17" x14ac:dyDescent="0.3">
      <c r="M134" s="11">
        <f t="shared" si="17"/>
        <v>0</v>
      </c>
      <c r="O134" s="11">
        <f t="shared" si="19"/>
        <v>0</v>
      </c>
      <c r="Q134" s="11">
        <f t="shared" si="18"/>
        <v>0</v>
      </c>
    </row>
    <row r="135" spans="13:17" x14ac:dyDescent="0.3">
      <c r="M135" s="11">
        <f t="shared" si="17"/>
        <v>0</v>
      </c>
      <c r="O135" s="11">
        <f t="shared" si="19"/>
        <v>0</v>
      </c>
      <c r="Q135" s="11">
        <f t="shared" si="18"/>
        <v>0</v>
      </c>
    </row>
    <row r="136" spans="13:17" x14ac:dyDescent="0.3">
      <c r="M136" s="11">
        <f t="shared" si="17"/>
        <v>0</v>
      </c>
      <c r="O136" s="11">
        <f t="shared" si="19"/>
        <v>0</v>
      </c>
      <c r="Q136" s="11">
        <f t="shared" si="18"/>
        <v>0</v>
      </c>
    </row>
    <row r="137" spans="13:17" x14ac:dyDescent="0.3">
      <c r="M137" s="11">
        <f t="shared" si="17"/>
        <v>0</v>
      </c>
      <c r="O137" s="11">
        <f t="shared" si="19"/>
        <v>0</v>
      </c>
      <c r="Q137" s="11">
        <f t="shared" si="18"/>
        <v>0</v>
      </c>
    </row>
    <row r="138" spans="13:17" x14ac:dyDescent="0.3">
      <c r="M138" s="11">
        <f t="shared" si="17"/>
        <v>0</v>
      </c>
      <c r="O138" s="11">
        <f t="shared" si="19"/>
        <v>0</v>
      </c>
      <c r="Q138" s="11">
        <f t="shared" si="18"/>
        <v>0</v>
      </c>
    </row>
    <row r="139" spans="13:17" x14ac:dyDescent="0.3">
      <c r="M139" s="11">
        <f t="shared" si="17"/>
        <v>0</v>
      </c>
      <c r="O139" s="11">
        <f t="shared" si="19"/>
        <v>0</v>
      </c>
      <c r="Q139" s="11">
        <f t="shared" si="18"/>
        <v>0</v>
      </c>
    </row>
    <row r="140" spans="13:17" x14ac:dyDescent="0.3">
      <c r="M140" s="11">
        <f t="shared" ref="M140:M203" si="20">K140*30%</f>
        <v>0</v>
      </c>
      <c r="O140" s="11">
        <f t="shared" si="19"/>
        <v>0</v>
      </c>
      <c r="Q140" s="11">
        <f t="shared" ref="Q140:Q203" si="21">O140*10%</f>
        <v>0</v>
      </c>
    </row>
    <row r="141" spans="13:17" x14ac:dyDescent="0.3">
      <c r="M141" s="11">
        <f t="shared" si="20"/>
        <v>0</v>
      </c>
      <c r="O141" s="11">
        <f t="shared" si="19"/>
        <v>0</v>
      </c>
      <c r="Q141" s="11">
        <f t="shared" si="21"/>
        <v>0</v>
      </c>
    </row>
    <row r="142" spans="13:17" x14ac:dyDescent="0.3">
      <c r="M142" s="11">
        <f t="shared" si="20"/>
        <v>0</v>
      </c>
      <c r="O142" s="11">
        <f t="shared" si="19"/>
        <v>0</v>
      </c>
      <c r="Q142" s="11">
        <f t="shared" si="21"/>
        <v>0</v>
      </c>
    </row>
    <row r="143" spans="13:17" x14ac:dyDescent="0.3">
      <c r="M143" s="11">
        <f t="shared" si="20"/>
        <v>0</v>
      </c>
      <c r="O143" s="11">
        <f t="shared" si="19"/>
        <v>0</v>
      </c>
      <c r="Q143" s="11">
        <f t="shared" si="21"/>
        <v>0</v>
      </c>
    </row>
    <row r="144" spans="13:17" x14ac:dyDescent="0.3">
      <c r="M144" s="11">
        <f t="shared" si="20"/>
        <v>0</v>
      </c>
      <c r="O144" s="11">
        <f t="shared" si="19"/>
        <v>0</v>
      </c>
      <c r="Q144" s="11">
        <f t="shared" si="21"/>
        <v>0</v>
      </c>
    </row>
    <row r="145" spans="13:17" x14ac:dyDescent="0.3">
      <c r="M145" s="11">
        <f t="shared" si="20"/>
        <v>0</v>
      </c>
      <c r="O145" s="11">
        <f t="shared" ref="O145:O208" si="22">K145*10%</f>
        <v>0</v>
      </c>
      <c r="Q145" s="11">
        <f t="shared" si="21"/>
        <v>0</v>
      </c>
    </row>
    <row r="146" spans="13:17" x14ac:dyDescent="0.3">
      <c r="M146" s="11">
        <f t="shared" si="20"/>
        <v>0</v>
      </c>
      <c r="O146" s="11">
        <f t="shared" si="22"/>
        <v>0</v>
      </c>
      <c r="Q146" s="11">
        <f t="shared" si="21"/>
        <v>0</v>
      </c>
    </row>
    <row r="147" spans="13:17" x14ac:dyDescent="0.3">
      <c r="M147" s="11">
        <f t="shared" si="20"/>
        <v>0</v>
      </c>
      <c r="O147" s="11">
        <f t="shared" si="22"/>
        <v>0</v>
      </c>
      <c r="Q147" s="11">
        <f t="shared" si="21"/>
        <v>0</v>
      </c>
    </row>
    <row r="148" spans="13:17" x14ac:dyDescent="0.3">
      <c r="M148" s="11">
        <f t="shared" si="20"/>
        <v>0</v>
      </c>
      <c r="O148" s="11">
        <f t="shared" si="22"/>
        <v>0</v>
      </c>
      <c r="Q148" s="11">
        <f t="shared" si="21"/>
        <v>0</v>
      </c>
    </row>
    <row r="149" spans="13:17" x14ac:dyDescent="0.3">
      <c r="M149" s="11">
        <f t="shared" si="20"/>
        <v>0</v>
      </c>
      <c r="O149" s="11">
        <f t="shared" si="22"/>
        <v>0</v>
      </c>
      <c r="Q149" s="11">
        <f t="shared" si="21"/>
        <v>0</v>
      </c>
    </row>
    <row r="150" spans="13:17" x14ac:dyDescent="0.3">
      <c r="M150" s="11">
        <f t="shared" si="20"/>
        <v>0</v>
      </c>
      <c r="O150" s="11">
        <f t="shared" si="22"/>
        <v>0</v>
      </c>
      <c r="Q150" s="11">
        <f t="shared" si="21"/>
        <v>0</v>
      </c>
    </row>
    <row r="151" spans="13:17" x14ac:dyDescent="0.3">
      <c r="M151" s="11">
        <f t="shared" si="20"/>
        <v>0</v>
      </c>
      <c r="O151" s="11">
        <f t="shared" si="22"/>
        <v>0</v>
      </c>
      <c r="Q151" s="11">
        <f t="shared" si="21"/>
        <v>0</v>
      </c>
    </row>
    <row r="152" spans="13:17" x14ac:dyDescent="0.3">
      <c r="M152" s="11">
        <f t="shared" si="20"/>
        <v>0</v>
      </c>
      <c r="O152" s="11">
        <f t="shared" si="22"/>
        <v>0</v>
      </c>
      <c r="Q152" s="11">
        <f t="shared" si="21"/>
        <v>0</v>
      </c>
    </row>
    <row r="153" spans="13:17" x14ac:dyDescent="0.3">
      <c r="M153" s="11">
        <f t="shared" si="20"/>
        <v>0</v>
      </c>
      <c r="O153" s="11">
        <f t="shared" si="22"/>
        <v>0</v>
      </c>
      <c r="Q153" s="11">
        <f t="shared" si="21"/>
        <v>0</v>
      </c>
    </row>
    <row r="154" spans="13:17" x14ac:dyDescent="0.3">
      <c r="M154" s="11">
        <f t="shared" si="20"/>
        <v>0</v>
      </c>
      <c r="O154" s="11">
        <f t="shared" si="22"/>
        <v>0</v>
      </c>
      <c r="Q154" s="11">
        <f t="shared" si="21"/>
        <v>0</v>
      </c>
    </row>
    <row r="155" spans="13:17" x14ac:dyDescent="0.3">
      <c r="M155" s="11">
        <f t="shared" si="20"/>
        <v>0</v>
      </c>
      <c r="O155" s="11">
        <f t="shared" si="22"/>
        <v>0</v>
      </c>
      <c r="Q155" s="11">
        <f t="shared" si="21"/>
        <v>0</v>
      </c>
    </row>
    <row r="156" spans="13:17" x14ac:dyDescent="0.3">
      <c r="M156" s="11">
        <f t="shared" si="20"/>
        <v>0</v>
      </c>
      <c r="O156" s="11">
        <f t="shared" si="22"/>
        <v>0</v>
      </c>
      <c r="Q156" s="11">
        <f t="shared" si="21"/>
        <v>0</v>
      </c>
    </row>
    <row r="157" spans="13:17" x14ac:dyDescent="0.3">
      <c r="M157" s="11">
        <f t="shared" si="20"/>
        <v>0</v>
      </c>
      <c r="O157" s="11">
        <f t="shared" si="22"/>
        <v>0</v>
      </c>
      <c r="Q157" s="11">
        <f t="shared" si="21"/>
        <v>0</v>
      </c>
    </row>
    <row r="158" spans="13:17" x14ac:dyDescent="0.3">
      <c r="M158" s="11">
        <f t="shared" si="20"/>
        <v>0</v>
      </c>
      <c r="O158" s="11">
        <f t="shared" si="22"/>
        <v>0</v>
      </c>
      <c r="Q158" s="11">
        <f t="shared" si="21"/>
        <v>0</v>
      </c>
    </row>
    <row r="159" spans="13:17" x14ac:dyDescent="0.3">
      <c r="M159" s="11">
        <f t="shared" si="20"/>
        <v>0</v>
      </c>
      <c r="O159" s="11">
        <f t="shared" si="22"/>
        <v>0</v>
      </c>
      <c r="Q159" s="11">
        <f t="shared" si="21"/>
        <v>0</v>
      </c>
    </row>
    <row r="160" spans="13:17" x14ac:dyDescent="0.3">
      <c r="M160" s="11">
        <f t="shared" si="20"/>
        <v>0</v>
      </c>
      <c r="O160" s="11">
        <f t="shared" si="22"/>
        <v>0</v>
      </c>
      <c r="Q160" s="11">
        <f t="shared" si="21"/>
        <v>0</v>
      </c>
    </row>
    <row r="161" spans="13:17" x14ac:dyDescent="0.3">
      <c r="M161" s="11">
        <f t="shared" si="20"/>
        <v>0</v>
      </c>
      <c r="O161" s="11">
        <f t="shared" si="22"/>
        <v>0</v>
      </c>
      <c r="Q161" s="11">
        <f t="shared" si="21"/>
        <v>0</v>
      </c>
    </row>
    <row r="162" spans="13:17" x14ac:dyDescent="0.3">
      <c r="M162" s="11">
        <f t="shared" si="20"/>
        <v>0</v>
      </c>
      <c r="O162" s="11">
        <f t="shared" si="22"/>
        <v>0</v>
      </c>
      <c r="Q162" s="11">
        <f t="shared" si="21"/>
        <v>0</v>
      </c>
    </row>
    <row r="163" spans="13:17" x14ac:dyDescent="0.3">
      <c r="M163" s="11">
        <f t="shared" si="20"/>
        <v>0</v>
      </c>
      <c r="O163" s="11">
        <f t="shared" si="22"/>
        <v>0</v>
      </c>
      <c r="Q163" s="11">
        <f t="shared" si="21"/>
        <v>0</v>
      </c>
    </row>
    <row r="164" spans="13:17" x14ac:dyDescent="0.3">
      <c r="M164" s="11">
        <f t="shared" si="20"/>
        <v>0</v>
      </c>
      <c r="O164" s="11">
        <f t="shared" si="22"/>
        <v>0</v>
      </c>
      <c r="Q164" s="11">
        <f t="shared" si="21"/>
        <v>0</v>
      </c>
    </row>
    <row r="165" spans="13:17" x14ac:dyDescent="0.3">
      <c r="M165" s="11">
        <f t="shared" si="20"/>
        <v>0</v>
      </c>
      <c r="O165" s="11">
        <f t="shared" si="22"/>
        <v>0</v>
      </c>
      <c r="Q165" s="11">
        <f t="shared" si="21"/>
        <v>0</v>
      </c>
    </row>
    <row r="166" spans="13:17" x14ac:dyDescent="0.3">
      <c r="M166" s="11">
        <f t="shared" si="20"/>
        <v>0</v>
      </c>
      <c r="O166" s="11">
        <f t="shared" si="22"/>
        <v>0</v>
      </c>
      <c r="Q166" s="11">
        <f t="shared" si="21"/>
        <v>0</v>
      </c>
    </row>
    <row r="167" spans="13:17" x14ac:dyDescent="0.3">
      <c r="M167" s="11">
        <f t="shared" si="20"/>
        <v>0</v>
      </c>
      <c r="O167" s="11">
        <f t="shared" si="22"/>
        <v>0</v>
      </c>
      <c r="Q167" s="11">
        <f t="shared" si="21"/>
        <v>0</v>
      </c>
    </row>
    <row r="168" spans="13:17" x14ac:dyDescent="0.3">
      <c r="M168" s="11">
        <f t="shared" si="20"/>
        <v>0</v>
      </c>
      <c r="O168" s="11">
        <f t="shared" si="22"/>
        <v>0</v>
      </c>
      <c r="Q168" s="11">
        <f t="shared" si="21"/>
        <v>0</v>
      </c>
    </row>
    <row r="169" spans="13:17" x14ac:dyDescent="0.3">
      <c r="M169" s="11">
        <f t="shared" si="20"/>
        <v>0</v>
      </c>
      <c r="O169" s="11">
        <f t="shared" si="22"/>
        <v>0</v>
      </c>
      <c r="Q169" s="11">
        <f t="shared" si="21"/>
        <v>0</v>
      </c>
    </row>
    <row r="170" spans="13:17" x14ac:dyDescent="0.3">
      <c r="M170" s="11">
        <f t="shared" si="20"/>
        <v>0</v>
      </c>
      <c r="O170" s="11">
        <f t="shared" si="22"/>
        <v>0</v>
      </c>
      <c r="Q170" s="11">
        <f t="shared" si="21"/>
        <v>0</v>
      </c>
    </row>
    <row r="171" spans="13:17" x14ac:dyDescent="0.3">
      <c r="M171" s="11">
        <f t="shared" si="20"/>
        <v>0</v>
      </c>
      <c r="O171" s="11">
        <f t="shared" si="22"/>
        <v>0</v>
      </c>
      <c r="Q171" s="11">
        <f t="shared" si="21"/>
        <v>0</v>
      </c>
    </row>
    <row r="172" spans="13:17" x14ac:dyDescent="0.3">
      <c r="M172" s="11">
        <f t="shared" si="20"/>
        <v>0</v>
      </c>
      <c r="O172" s="11">
        <f t="shared" si="22"/>
        <v>0</v>
      </c>
      <c r="Q172" s="11">
        <f t="shared" si="21"/>
        <v>0</v>
      </c>
    </row>
    <row r="173" spans="13:17" x14ac:dyDescent="0.3">
      <c r="M173" s="11">
        <f t="shared" si="20"/>
        <v>0</v>
      </c>
      <c r="O173" s="11">
        <f t="shared" si="22"/>
        <v>0</v>
      </c>
      <c r="Q173" s="11">
        <f t="shared" si="21"/>
        <v>0</v>
      </c>
    </row>
    <row r="174" spans="13:17" x14ac:dyDescent="0.3">
      <c r="M174" s="11">
        <f t="shared" si="20"/>
        <v>0</v>
      </c>
      <c r="O174" s="11">
        <f t="shared" si="22"/>
        <v>0</v>
      </c>
      <c r="Q174" s="11">
        <f t="shared" si="21"/>
        <v>0</v>
      </c>
    </row>
    <row r="175" spans="13:17" x14ac:dyDescent="0.3">
      <c r="M175" s="11">
        <f t="shared" si="20"/>
        <v>0</v>
      </c>
      <c r="O175" s="11">
        <f t="shared" si="22"/>
        <v>0</v>
      </c>
      <c r="Q175" s="11">
        <f t="shared" si="21"/>
        <v>0</v>
      </c>
    </row>
    <row r="176" spans="13:17" x14ac:dyDescent="0.3">
      <c r="M176" s="11">
        <f t="shared" si="20"/>
        <v>0</v>
      </c>
      <c r="O176" s="11">
        <f t="shared" si="22"/>
        <v>0</v>
      </c>
      <c r="Q176" s="11">
        <f t="shared" si="21"/>
        <v>0</v>
      </c>
    </row>
    <row r="177" spans="13:17" x14ac:dyDescent="0.3">
      <c r="M177" s="11">
        <f t="shared" si="20"/>
        <v>0</v>
      </c>
      <c r="O177" s="11">
        <f t="shared" si="22"/>
        <v>0</v>
      </c>
      <c r="Q177" s="11">
        <f t="shared" si="21"/>
        <v>0</v>
      </c>
    </row>
    <row r="178" spans="13:17" x14ac:dyDescent="0.3">
      <c r="M178" s="11">
        <f t="shared" si="20"/>
        <v>0</v>
      </c>
      <c r="O178" s="11">
        <f t="shared" si="22"/>
        <v>0</v>
      </c>
      <c r="Q178" s="11">
        <f t="shared" si="21"/>
        <v>0</v>
      </c>
    </row>
    <row r="179" spans="13:17" x14ac:dyDescent="0.3">
      <c r="M179" s="11">
        <f t="shared" si="20"/>
        <v>0</v>
      </c>
      <c r="O179" s="11">
        <f t="shared" si="22"/>
        <v>0</v>
      </c>
      <c r="Q179" s="11">
        <f t="shared" si="21"/>
        <v>0</v>
      </c>
    </row>
    <row r="180" spans="13:17" x14ac:dyDescent="0.3">
      <c r="M180" s="11">
        <f t="shared" si="20"/>
        <v>0</v>
      </c>
      <c r="O180" s="11">
        <f t="shared" si="22"/>
        <v>0</v>
      </c>
      <c r="Q180" s="11">
        <f t="shared" si="21"/>
        <v>0</v>
      </c>
    </row>
    <row r="181" spans="13:17" x14ac:dyDescent="0.3">
      <c r="M181" s="11">
        <f t="shared" si="20"/>
        <v>0</v>
      </c>
      <c r="O181" s="11">
        <f t="shared" si="22"/>
        <v>0</v>
      </c>
      <c r="Q181" s="11">
        <f t="shared" si="21"/>
        <v>0</v>
      </c>
    </row>
    <row r="182" spans="13:17" x14ac:dyDescent="0.3">
      <c r="M182" s="11">
        <f t="shared" si="20"/>
        <v>0</v>
      </c>
      <c r="O182" s="11">
        <f t="shared" si="22"/>
        <v>0</v>
      </c>
      <c r="Q182" s="11">
        <f t="shared" si="21"/>
        <v>0</v>
      </c>
    </row>
    <row r="183" spans="13:17" x14ac:dyDescent="0.3">
      <c r="M183" s="11">
        <f t="shared" si="20"/>
        <v>0</v>
      </c>
      <c r="O183" s="11">
        <f t="shared" si="22"/>
        <v>0</v>
      </c>
      <c r="Q183" s="11">
        <f t="shared" si="21"/>
        <v>0</v>
      </c>
    </row>
    <row r="184" spans="13:17" x14ac:dyDescent="0.3">
      <c r="M184" s="11">
        <f t="shared" si="20"/>
        <v>0</v>
      </c>
      <c r="O184" s="11">
        <f t="shared" si="22"/>
        <v>0</v>
      </c>
      <c r="Q184" s="11">
        <f t="shared" si="21"/>
        <v>0</v>
      </c>
    </row>
    <row r="185" spans="13:17" x14ac:dyDescent="0.3">
      <c r="M185" s="11">
        <f t="shared" si="20"/>
        <v>0</v>
      </c>
      <c r="O185" s="11">
        <f t="shared" si="22"/>
        <v>0</v>
      </c>
      <c r="Q185" s="11">
        <f t="shared" si="21"/>
        <v>0</v>
      </c>
    </row>
    <row r="186" spans="13:17" x14ac:dyDescent="0.3">
      <c r="M186" s="11">
        <f t="shared" si="20"/>
        <v>0</v>
      </c>
      <c r="O186" s="11">
        <f t="shared" si="22"/>
        <v>0</v>
      </c>
      <c r="Q186" s="11">
        <f t="shared" si="21"/>
        <v>0</v>
      </c>
    </row>
    <row r="187" spans="13:17" x14ac:dyDescent="0.3">
      <c r="M187" s="11">
        <f t="shared" si="20"/>
        <v>0</v>
      </c>
      <c r="O187" s="11">
        <f t="shared" si="22"/>
        <v>0</v>
      </c>
      <c r="Q187" s="11">
        <f t="shared" si="21"/>
        <v>0</v>
      </c>
    </row>
    <row r="188" spans="13:17" x14ac:dyDescent="0.3">
      <c r="M188" s="11">
        <f t="shared" si="20"/>
        <v>0</v>
      </c>
      <c r="O188" s="11">
        <f t="shared" si="22"/>
        <v>0</v>
      </c>
      <c r="Q188" s="11">
        <f t="shared" si="21"/>
        <v>0</v>
      </c>
    </row>
    <row r="189" spans="13:17" x14ac:dyDescent="0.3">
      <c r="M189" s="11">
        <f t="shared" si="20"/>
        <v>0</v>
      </c>
      <c r="O189" s="11">
        <f t="shared" si="22"/>
        <v>0</v>
      </c>
      <c r="Q189" s="11">
        <f t="shared" si="21"/>
        <v>0</v>
      </c>
    </row>
    <row r="190" spans="13:17" x14ac:dyDescent="0.3">
      <c r="M190" s="11">
        <f t="shared" si="20"/>
        <v>0</v>
      </c>
      <c r="O190" s="11">
        <f t="shared" si="22"/>
        <v>0</v>
      </c>
      <c r="Q190" s="11">
        <f t="shared" si="21"/>
        <v>0</v>
      </c>
    </row>
    <row r="191" spans="13:17" x14ac:dyDescent="0.3">
      <c r="M191" s="11">
        <f t="shared" si="20"/>
        <v>0</v>
      </c>
      <c r="O191" s="11">
        <f t="shared" si="22"/>
        <v>0</v>
      </c>
      <c r="Q191" s="11">
        <f t="shared" si="21"/>
        <v>0</v>
      </c>
    </row>
    <row r="192" spans="13:17" x14ac:dyDescent="0.3">
      <c r="M192" s="11">
        <f t="shared" si="20"/>
        <v>0</v>
      </c>
      <c r="O192" s="11">
        <f t="shared" si="22"/>
        <v>0</v>
      </c>
      <c r="Q192" s="11">
        <f t="shared" si="21"/>
        <v>0</v>
      </c>
    </row>
    <row r="193" spans="13:17" x14ac:dyDescent="0.3">
      <c r="M193" s="11">
        <f t="shared" si="20"/>
        <v>0</v>
      </c>
      <c r="O193" s="11">
        <f t="shared" si="22"/>
        <v>0</v>
      </c>
      <c r="Q193" s="11">
        <f t="shared" si="21"/>
        <v>0</v>
      </c>
    </row>
    <row r="194" spans="13:17" x14ac:dyDescent="0.3">
      <c r="M194" s="11">
        <f t="shared" si="20"/>
        <v>0</v>
      </c>
      <c r="O194" s="11">
        <f t="shared" si="22"/>
        <v>0</v>
      </c>
      <c r="Q194" s="11">
        <f t="shared" si="21"/>
        <v>0</v>
      </c>
    </row>
    <row r="195" spans="13:17" x14ac:dyDescent="0.3">
      <c r="M195" s="11">
        <f t="shared" si="20"/>
        <v>0</v>
      </c>
      <c r="O195" s="11">
        <f t="shared" si="22"/>
        <v>0</v>
      </c>
      <c r="Q195" s="11">
        <f t="shared" si="21"/>
        <v>0</v>
      </c>
    </row>
    <row r="196" spans="13:17" x14ac:dyDescent="0.3">
      <c r="M196" s="11">
        <f t="shared" si="20"/>
        <v>0</v>
      </c>
      <c r="O196" s="11">
        <f t="shared" si="22"/>
        <v>0</v>
      </c>
      <c r="Q196" s="11">
        <f t="shared" si="21"/>
        <v>0</v>
      </c>
    </row>
    <row r="197" spans="13:17" x14ac:dyDescent="0.3">
      <c r="M197" s="11">
        <f t="shared" si="20"/>
        <v>0</v>
      </c>
      <c r="O197" s="11">
        <f t="shared" si="22"/>
        <v>0</v>
      </c>
      <c r="Q197" s="11">
        <f t="shared" si="21"/>
        <v>0</v>
      </c>
    </row>
    <row r="198" spans="13:17" x14ac:dyDescent="0.3">
      <c r="M198" s="11">
        <f t="shared" si="20"/>
        <v>0</v>
      </c>
      <c r="O198" s="11">
        <f t="shared" si="22"/>
        <v>0</v>
      </c>
      <c r="Q198" s="11">
        <f t="shared" si="21"/>
        <v>0</v>
      </c>
    </row>
    <row r="199" spans="13:17" x14ac:dyDescent="0.3">
      <c r="M199" s="11">
        <f t="shared" si="20"/>
        <v>0</v>
      </c>
      <c r="O199" s="11">
        <f t="shared" si="22"/>
        <v>0</v>
      </c>
      <c r="Q199" s="11">
        <f t="shared" si="21"/>
        <v>0</v>
      </c>
    </row>
    <row r="200" spans="13:17" x14ac:dyDescent="0.3">
      <c r="M200" s="11">
        <f t="shared" si="20"/>
        <v>0</v>
      </c>
      <c r="O200" s="11">
        <f t="shared" si="22"/>
        <v>0</v>
      </c>
      <c r="Q200" s="11">
        <f t="shared" si="21"/>
        <v>0</v>
      </c>
    </row>
    <row r="201" spans="13:17" x14ac:dyDescent="0.3">
      <c r="M201" s="11">
        <f t="shared" si="20"/>
        <v>0</v>
      </c>
      <c r="O201" s="11">
        <f t="shared" si="22"/>
        <v>0</v>
      </c>
      <c r="Q201" s="11">
        <f t="shared" si="21"/>
        <v>0</v>
      </c>
    </row>
    <row r="202" spans="13:17" x14ac:dyDescent="0.3">
      <c r="M202" s="11">
        <f t="shared" si="20"/>
        <v>0</v>
      </c>
      <c r="O202" s="11">
        <f t="shared" si="22"/>
        <v>0</v>
      </c>
      <c r="Q202" s="11">
        <f t="shared" si="21"/>
        <v>0</v>
      </c>
    </row>
    <row r="203" spans="13:17" x14ac:dyDescent="0.3">
      <c r="M203" s="11">
        <f t="shared" si="20"/>
        <v>0</v>
      </c>
      <c r="O203" s="11">
        <f t="shared" si="22"/>
        <v>0</v>
      </c>
      <c r="Q203" s="11">
        <f t="shared" si="21"/>
        <v>0</v>
      </c>
    </row>
    <row r="204" spans="13:17" x14ac:dyDescent="0.3">
      <c r="M204" s="11">
        <f t="shared" ref="M204:M267" si="23">K204*30%</f>
        <v>0</v>
      </c>
      <c r="O204" s="11">
        <f t="shared" si="22"/>
        <v>0</v>
      </c>
      <c r="Q204" s="11">
        <f t="shared" ref="Q204:Q267" si="24">O204*10%</f>
        <v>0</v>
      </c>
    </row>
    <row r="205" spans="13:17" x14ac:dyDescent="0.3">
      <c r="M205" s="11">
        <f t="shared" si="23"/>
        <v>0</v>
      </c>
      <c r="O205" s="11">
        <f t="shared" si="22"/>
        <v>0</v>
      </c>
      <c r="Q205" s="11">
        <f t="shared" si="24"/>
        <v>0</v>
      </c>
    </row>
    <row r="206" spans="13:17" x14ac:dyDescent="0.3">
      <c r="M206" s="11">
        <f t="shared" si="23"/>
        <v>0</v>
      </c>
      <c r="O206" s="11">
        <f t="shared" si="22"/>
        <v>0</v>
      </c>
      <c r="Q206" s="11">
        <f t="shared" si="24"/>
        <v>0</v>
      </c>
    </row>
    <row r="207" spans="13:17" x14ac:dyDescent="0.3">
      <c r="M207" s="11">
        <f t="shared" si="23"/>
        <v>0</v>
      </c>
      <c r="O207" s="11">
        <f t="shared" si="22"/>
        <v>0</v>
      </c>
      <c r="Q207" s="11">
        <f t="shared" si="24"/>
        <v>0</v>
      </c>
    </row>
    <row r="208" spans="13:17" x14ac:dyDescent="0.3">
      <c r="M208" s="11">
        <f t="shared" si="23"/>
        <v>0</v>
      </c>
      <c r="O208" s="11">
        <f t="shared" si="22"/>
        <v>0</v>
      </c>
      <c r="Q208" s="11">
        <f t="shared" si="24"/>
        <v>0</v>
      </c>
    </row>
    <row r="209" spans="13:17" x14ac:dyDescent="0.3">
      <c r="M209" s="11">
        <f t="shared" si="23"/>
        <v>0</v>
      </c>
      <c r="O209" s="11">
        <f t="shared" ref="O209:O272" si="25">K209*10%</f>
        <v>0</v>
      </c>
      <c r="Q209" s="11">
        <f t="shared" si="24"/>
        <v>0</v>
      </c>
    </row>
    <row r="210" spans="13:17" x14ac:dyDescent="0.3">
      <c r="M210" s="11">
        <f t="shared" si="23"/>
        <v>0</v>
      </c>
      <c r="O210" s="11">
        <f t="shared" si="25"/>
        <v>0</v>
      </c>
      <c r="Q210" s="11">
        <f t="shared" si="24"/>
        <v>0</v>
      </c>
    </row>
    <row r="211" spans="13:17" x14ac:dyDescent="0.3">
      <c r="M211" s="11">
        <f t="shared" si="23"/>
        <v>0</v>
      </c>
      <c r="O211" s="11">
        <f t="shared" si="25"/>
        <v>0</v>
      </c>
      <c r="Q211" s="11">
        <f t="shared" si="24"/>
        <v>0</v>
      </c>
    </row>
    <row r="212" spans="13:17" x14ac:dyDescent="0.3">
      <c r="M212" s="11">
        <f t="shared" si="23"/>
        <v>0</v>
      </c>
      <c r="O212" s="11">
        <f t="shared" si="25"/>
        <v>0</v>
      </c>
      <c r="Q212" s="11">
        <f t="shared" si="24"/>
        <v>0</v>
      </c>
    </row>
    <row r="213" spans="13:17" x14ac:dyDescent="0.3">
      <c r="M213" s="11">
        <f t="shared" si="23"/>
        <v>0</v>
      </c>
      <c r="O213" s="11">
        <f t="shared" si="25"/>
        <v>0</v>
      </c>
      <c r="Q213" s="11">
        <f t="shared" si="24"/>
        <v>0</v>
      </c>
    </row>
    <row r="214" spans="13:17" x14ac:dyDescent="0.3">
      <c r="M214" s="11">
        <f t="shared" si="23"/>
        <v>0</v>
      </c>
      <c r="O214" s="11">
        <f t="shared" si="25"/>
        <v>0</v>
      </c>
      <c r="Q214" s="11">
        <f t="shared" si="24"/>
        <v>0</v>
      </c>
    </row>
    <row r="215" spans="13:17" x14ac:dyDescent="0.3">
      <c r="M215" s="11">
        <f t="shared" si="23"/>
        <v>0</v>
      </c>
      <c r="O215" s="11">
        <f t="shared" si="25"/>
        <v>0</v>
      </c>
      <c r="Q215" s="11">
        <f t="shared" si="24"/>
        <v>0</v>
      </c>
    </row>
    <row r="216" spans="13:17" x14ac:dyDescent="0.3">
      <c r="M216" s="11">
        <f t="shared" si="23"/>
        <v>0</v>
      </c>
      <c r="O216" s="11">
        <f t="shared" si="25"/>
        <v>0</v>
      </c>
      <c r="Q216" s="11">
        <f t="shared" si="24"/>
        <v>0</v>
      </c>
    </row>
    <row r="217" spans="13:17" x14ac:dyDescent="0.3">
      <c r="M217" s="11">
        <f t="shared" si="23"/>
        <v>0</v>
      </c>
      <c r="O217" s="11">
        <f t="shared" si="25"/>
        <v>0</v>
      </c>
      <c r="Q217" s="11">
        <f t="shared" si="24"/>
        <v>0</v>
      </c>
    </row>
    <row r="218" spans="13:17" x14ac:dyDescent="0.3">
      <c r="M218" s="11">
        <f t="shared" si="23"/>
        <v>0</v>
      </c>
      <c r="O218" s="11">
        <f t="shared" si="25"/>
        <v>0</v>
      </c>
      <c r="Q218" s="11">
        <f t="shared" si="24"/>
        <v>0</v>
      </c>
    </row>
    <row r="219" spans="13:17" x14ac:dyDescent="0.3">
      <c r="M219" s="11">
        <f t="shared" si="23"/>
        <v>0</v>
      </c>
      <c r="O219" s="11">
        <f t="shared" si="25"/>
        <v>0</v>
      </c>
      <c r="Q219" s="11">
        <f t="shared" si="24"/>
        <v>0</v>
      </c>
    </row>
    <row r="220" spans="13:17" x14ac:dyDescent="0.3">
      <c r="M220" s="11">
        <f t="shared" si="23"/>
        <v>0</v>
      </c>
      <c r="O220" s="11">
        <f t="shared" si="25"/>
        <v>0</v>
      </c>
      <c r="Q220" s="11">
        <f t="shared" si="24"/>
        <v>0</v>
      </c>
    </row>
    <row r="221" spans="13:17" x14ac:dyDescent="0.3">
      <c r="M221" s="11">
        <f t="shared" si="23"/>
        <v>0</v>
      </c>
      <c r="O221" s="11">
        <f t="shared" si="25"/>
        <v>0</v>
      </c>
      <c r="Q221" s="11">
        <f t="shared" si="24"/>
        <v>0</v>
      </c>
    </row>
    <row r="222" spans="13:17" x14ac:dyDescent="0.3">
      <c r="M222" s="11">
        <f t="shared" si="23"/>
        <v>0</v>
      </c>
      <c r="O222" s="11">
        <f t="shared" si="25"/>
        <v>0</v>
      </c>
      <c r="Q222" s="11">
        <f t="shared" si="24"/>
        <v>0</v>
      </c>
    </row>
    <row r="223" spans="13:17" x14ac:dyDescent="0.3">
      <c r="M223" s="11">
        <f t="shared" si="23"/>
        <v>0</v>
      </c>
      <c r="O223" s="11">
        <f t="shared" si="25"/>
        <v>0</v>
      </c>
      <c r="Q223" s="11">
        <f t="shared" si="24"/>
        <v>0</v>
      </c>
    </row>
    <row r="224" spans="13:17" x14ac:dyDescent="0.3">
      <c r="M224" s="11">
        <f t="shared" si="23"/>
        <v>0</v>
      </c>
      <c r="O224" s="11">
        <f t="shared" si="25"/>
        <v>0</v>
      </c>
      <c r="Q224" s="11">
        <f t="shared" si="24"/>
        <v>0</v>
      </c>
    </row>
    <row r="225" spans="13:17" x14ac:dyDescent="0.3">
      <c r="M225" s="11">
        <f t="shared" si="23"/>
        <v>0</v>
      </c>
      <c r="O225" s="11">
        <f t="shared" si="25"/>
        <v>0</v>
      </c>
      <c r="Q225" s="11">
        <f t="shared" si="24"/>
        <v>0</v>
      </c>
    </row>
    <row r="226" spans="13:17" x14ac:dyDescent="0.3">
      <c r="M226" s="11">
        <f t="shared" si="23"/>
        <v>0</v>
      </c>
      <c r="O226" s="11">
        <f t="shared" si="25"/>
        <v>0</v>
      </c>
      <c r="Q226" s="11">
        <f t="shared" si="24"/>
        <v>0</v>
      </c>
    </row>
    <row r="227" spans="13:17" x14ac:dyDescent="0.3">
      <c r="M227" s="11">
        <f t="shared" si="23"/>
        <v>0</v>
      </c>
      <c r="O227" s="11">
        <f t="shared" si="25"/>
        <v>0</v>
      </c>
      <c r="Q227" s="11">
        <f t="shared" si="24"/>
        <v>0</v>
      </c>
    </row>
    <row r="228" spans="13:17" x14ac:dyDescent="0.3">
      <c r="M228" s="11">
        <f t="shared" si="23"/>
        <v>0</v>
      </c>
      <c r="O228" s="11">
        <f t="shared" si="25"/>
        <v>0</v>
      </c>
      <c r="Q228" s="11">
        <f t="shared" si="24"/>
        <v>0</v>
      </c>
    </row>
    <row r="229" spans="13:17" x14ac:dyDescent="0.3">
      <c r="M229" s="11">
        <f t="shared" si="23"/>
        <v>0</v>
      </c>
      <c r="O229" s="11">
        <f t="shared" si="25"/>
        <v>0</v>
      </c>
      <c r="Q229" s="11">
        <f t="shared" si="24"/>
        <v>0</v>
      </c>
    </row>
    <row r="230" spans="13:17" x14ac:dyDescent="0.3">
      <c r="M230" s="11">
        <f t="shared" si="23"/>
        <v>0</v>
      </c>
      <c r="O230" s="11">
        <f t="shared" si="25"/>
        <v>0</v>
      </c>
      <c r="Q230" s="11">
        <f t="shared" si="24"/>
        <v>0</v>
      </c>
    </row>
    <row r="231" spans="13:17" x14ac:dyDescent="0.3">
      <c r="M231" s="11">
        <f t="shared" si="23"/>
        <v>0</v>
      </c>
      <c r="O231" s="11">
        <f t="shared" si="25"/>
        <v>0</v>
      </c>
      <c r="Q231" s="11">
        <f t="shared" si="24"/>
        <v>0</v>
      </c>
    </row>
    <row r="232" spans="13:17" x14ac:dyDescent="0.3">
      <c r="M232" s="11">
        <f t="shared" si="23"/>
        <v>0</v>
      </c>
      <c r="O232" s="11">
        <f t="shared" si="25"/>
        <v>0</v>
      </c>
      <c r="Q232" s="11">
        <f t="shared" si="24"/>
        <v>0</v>
      </c>
    </row>
    <row r="233" spans="13:17" x14ac:dyDescent="0.3">
      <c r="M233" s="11">
        <f t="shared" si="23"/>
        <v>0</v>
      </c>
      <c r="O233" s="11">
        <f t="shared" si="25"/>
        <v>0</v>
      </c>
      <c r="Q233" s="11">
        <f t="shared" si="24"/>
        <v>0</v>
      </c>
    </row>
    <row r="234" spans="13:17" x14ac:dyDescent="0.3">
      <c r="M234" s="11">
        <f t="shared" si="23"/>
        <v>0</v>
      </c>
      <c r="O234" s="11">
        <f t="shared" si="25"/>
        <v>0</v>
      </c>
      <c r="Q234" s="11">
        <f t="shared" si="24"/>
        <v>0</v>
      </c>
    </row>
    <row r="235" spans="13:17" x14ac:dyDescent="0.3">
      <c r="M235" s="11">
        <f t="shared" si="23"/>
        <v>0</v>
      </c>
      <c r="O235" s="11">
        <f t="shared" si="25"/>
        <v>0</v>
      </c>
      <c r="Q235" s="11">
        <f t="shared" si="24"/>
        <v>0</v>
      </c>
    </row>
    <row r="236" spans="13:17" x14ac:dyDescent="0.3">
      <c r="M236" s="11">
        <f t="shared" si="23"/>
        <v>0</v>
      </c>
      <c r="O236" s="11">
        <f t="shared" si="25"/>
        <v>0</v>
      </c>
      <c r="Q236" s="11">
        <f t="shared" si="24"/>
        <v>0</v>
      </c>
    </row>
    <row r="237" spans="13:17" x14ac:dyDescent="0.3">
      <c r="M237" s="11">
        <f t="shared" si="23"/>
        <v>0</v>
      </c>
      <c r="O237" s="11">
        <f t="shared" si="25"/>
        <v>0</v>
      </c>
      <c r="Q237" s="11">
        <f t="shared" si="24"/>
        <v>0</v>
      </c>
    </row>
    <row r="238" spans="13:17" x14ac:dyDescent="0.3">
      <c r="M238" s="11">
        <f t="shared" si="23"/>
        <v>0</v>
      </c>
      <c r="O238" s="11">
        <f t="shared" si="25"/>
        <v>0</v>
      </c>
      <c r="Q238" s="11">
        <f t="shared" si="24"/>
        <v>0</v>
      </c>
    </row>
    <row r="239" spans="13:17" x14ac:dyDescent="0.3">
      <c r="M239" s="11">
        <f t="shared" si="23"/>
        <v>0</v>
      </c>
      <c r="O239" s="11">
        <f t="shared" si="25"/>
        <v>0</v>
      </c>
      <c r="Q239" s="11">
        <f t="shared" si="24"/>
        <v>0</v>
      </c>
    </row>
    <row r="240" spans="13:17" x14ac:dyDescent="0.3">
      <c r="M240" s="11">
        <f t="shared" si="23"/>
        <v>0</v>
      </c>
      <c r="O240" s="11">
        <f t="shared" si="25"/>
        <v>0</v>
      </c>
      <c r="Q240" s="11">
        <f t="shared" si="24"/>
        <v>0</v>
      </c>
    </row>
    <row r="241" spans="13:17" x14ac:dyDescent="0.3">
      <c r="M241" s="11">
        <f t="shared" si="23"/>
        <v>0</v>
      </c>
      <c r="O241" s="11">
        <f t="shared" si="25"/>
        <v>0</v>
      </c>
      <c r="Q241" s="11">
        <f t="shared" si="24"/>
        <v>0</v>
      </c>
    </row>
    <row r="242" spans="13:17" x14ac:dyDescent="0.3">
      <c r="M242" s="11">
        <f t="shared" si="23"/>
        <v>0</v>
      </c>
      <c r="O242" s="11">
        <f t="shared" si="25"/>
        <v>0</v>
      </c>
      <c r="Q242" s="11">
        <f t="shared" si="24"/>
        <v>0</v>
      </c>
    </row>
    <row r="243" spans="13:17" x14ac:dyDescent="0.3">
      <c r="M243" s="11">
        <f t="shared" si="23"/>
        <v>0</v>
      </c>
      <c r="O243" s="11">
        <f t="shared" si="25"/>
        <v>0</v>
      </c>
      <c r="Q243" s="11">
        <f t="shared" si="24"/>
        <v>0</v>
      </c>
    </row>
    <row r="244" spans="13:17" x14ac:dyDescent="0.3">
      <c r="M244" s="11">
        <f t="shared" si="23"/>
        <v>0</v>
      </c>
      <c r="O244" s="11">
        <f t="shared" si="25"/>
        <v>0</v>
      </c>
      <c r="Q244" s="11">
        <f t="shared" si="24"/>
        <v>0</v>
      </c>
    </row>
    <row r="245" spans="13:17" x14ac:dyDescent="0.3">
      <c r="M245" s="11">
        <f t="shared" si="23"/>
        <v>0</v>
      </c>
      <c r="O245" s="11">
        <f t="shared" si="25"/>
        <v>0</v>
      </c>
      <c r="Q245" s="11">
        <f t="shared" si="24"/>
        <v>0</v>
      </c>
    </row>
    <row r="246" spans="13:17" x14ac:dyDescent="0.3">
      <c r="M246" s="11">
        <f t="shared" si="23"/>
        <v>0</v>
      </c>
      <c r="O246" s="11">
        <f t="shared" si="25"/>
        <v>0</v>
      </c>
      <c r="Q246" s="11">
        <f t="shared" si="24"/>
        <v>0</v>
      </c>
    </row>
    <row r="247" spans="13:17" x14ac:dyDescent="0.3">
      <c r="M247" s="11">
        <f t="shared" si="23"/>
        <v>0</v>
      </c>
      <c r="O247" s="11">
        <f t="shared" si="25"/>
        <v>0</v>
      </c>
      <c r="Q247" s="11">
        <f t="shared" si="24"/>
        <v>0</v>
      </c>
    </row>
    <row r="248" spans="13:17" x14ac:dyDescent="0.3">
      <c r="M248" s="11">
        <f t="shared" si="23"/>
        <v>0</v>
      </c>
      <c r="O248" s="11">
        <f t="shared" si="25"/>
        <v>0</v>
      </c>
      <c r="Q248" s="11">
        <f t="shared" si="24"/>
        <v>0</v>
      </c>
    </row>
    <row r="249" spans="13:17" x14ac:dyDescent="0.3">
      <c r="M249" s="11">
        <f t="shared" si="23"/>
        <v>0</v>
      </c>
      <c r="O249" s="11">
        <f t="shared" si="25"/>
        <v>0</v>
      </c>
      <c r="Q249" s="11">
        <f t="shared" si="24"/>
        <v>0</v>
      </c>
    </row>
    <row r="250" spans="13:17" x14ac:dyDescent="0.3">
      <c r="M250" s="11">
        <f t="shared" si="23"/>
        <v>0</v>
      </c>
      <c r="O250" s="11">
        <f t="shared" si="25"/>
        <v>0</v>
      </c>
      <c r="Q250" s="11">
        <f t="shared" si="24"/>
        <v>0</v>
      </c>
    </row>
    <row r="251" spans="13:17" x14ac:dyDescent="0.3">
      <c r="M251" s="11">
        <f t="shared" si="23"/>
        <v>0</v>
      </c>
      <c r="O251" s="11">
        <f t="shared" si="25"/>
        <v>0</v>
      </c>
      <c r="Q251" s="11">
        <f t="shared" si="24"/>
        <v>0</v>
      </c>
    </row>
    <row r="252" spans="13:17" x14ac:dyDescent="0.3">
      <c r="M252" s="11">
        <f t="shared" si="23"/>
        <v>0</v>
      </c>
      <c r="O252" s="11">
        <f t="shared" si="25"/>
        <v>0</v>
      </c>
      <c r="Q252" s="11">
        <f t="shared" si="24"/>
        <v>0</v>
      </c>
    </row>
    <row r="253" spans="13:17" x14ac:dyDescent="0.3">
      <c r="M253" s="11">
        <f t="shared" si="23"/>
        <v>0</v>
      </c>
      <c r="O253" s="11">
        <f t="shared" si="25"/>
        <v>0</v>
      </c>
      <c r="Q253" s="11">
        <f t="shared" si="24"/>
        <v>0</v>
      </c>
    </row>
    <row r="254" spans="13:17" x14ac:dyDescent="0.3">
      <c r="M254" s="11">
        <f t="shared" si="23"/>
        <v>0</v>
      </c>
      <c r="O254" s="11">
        <f t="shared" si="25"/>
        <v>0</v>
      </c>
      <c r="Q254" s="11">
        <f t="shared" si="24"/>
        <v>0</v>
      </c>
    </row>
    <row r="255" spans="13:17" x14ac:dyDescent="0.3">
      <c r="M255" s="11">
        <f t="shared" si="23"/>
        <v>0</v>
      </c>
      <c r="O255" s="11">
        <f t="shared" si="25"/>
        <v>0</v>
      </c>
      <c r="Q255" s="11">
        <f t="shared" si="24"/>
        <v>0</v>
      </c>
    </row>
    <row r="256" spans="13:17" x14ac:dyDescent="0.3">
      <c r="M256" s="11">
        <f t="shared" si="23"/>
        <v>0</v>
      </c>
      <c r="O256" s="11">
        <f t="shared" si="25"/>
        <v>0</v>
      </c>
      <c r="Q256" s="11">
        <f t="shared" si="24"/>
        <v>0</v>
      </c>
    </row>
    <row r="257" spans="13:17" x14ac:dyDescent="0.3">
      <c r="M257" s="11">
        <f t="shared" si="23"/>
        <v>0</v>
      </c>
      <c r="O257" s="11">
        <f t="shared" si="25"/>
        <v>0</v>
      </c>
      <c r="Q257" s="11">
        <f t="shared" si="24"/>
        <v>0</v>
      </c>
    </row>
    <row r="258" spans="13:17" x14ac:dyDescent="0.3">
      <c r="M258" s="11">
        <f t="shared" si="23"/>
        <v>0</v>
      </c>
      <c r="O258" s="11">
        <f t="shared" si="25"/>
        <v>0</v>
      </c>
      <c r="Q258" s="11">
        <f t="shared" si="24"/>
        <v>0</v>
      </c>
    </row>
    <row r="259" spans="13:17" x14ac:dyDescent="0.3">
      <c r="M259" s="11">
        <f t="shared" si="23"/>
        <v>0</v>
      </c>
      <c r="O259" s="11">
        <f t="shared" si="25"/>
        <v>0</v>
      </c>
      <c r="Q259" s="11">
        <f t="shared" si="24"/>
        <v>0</v>
      </c>
    </row>
    <row r="260" spans="13:17" x14ac:dyDescent="0.3">
      <c r="M260" s="11">
        <f t="shared" si="23"/>
        <v>0</v>
      </c>
      <c r="O260" s="11">
        <f t="shared" si="25"/>
        <v>0</v>
      </c>
      <c r="Q260" s="11">
        <f t="shared" si="24"/>
        <v>0</v>
      </c>
    </row>
    <row r="261" spans="13:17" x14ac:dyDescent="0.3">
      <c r="M261" s="11">
        <f t="shared" si="23"/>
        <v>0</v>
      </c>
      <c r="O261" s="11">
        <f t="shared" si="25"/>
        <v>0</v>
      </c>
      <c r="Q261" s="11">
        <f t="shared" si="24"/>
        <v>0</v>
      </c>
    </row>
    <row r="262" spans="13:17" x14ac:dyDescent="0.3">
      <c r="M262" s="11">
        <f t="shared" si="23"/>
        <v>0</v>
      </c>
      <c r="O262" s="11">
        <f t="shared" si="25"/>
        <v>0</v>
      </c>
      <c r="Q262" s="11">
        <f t="shared" si="24"/>
        <v>0</v>
      </c>
    </row>
    <row r="263" spans="13:17" x14ac:dyDescent="0.3">
      <c r="M263" s="11">
        <f t="shared" si="23"/>
        <v>0</v>
      </c>
      <c r="O263" s="11">
        <f t="shared" si="25"/>
        <v>0</v>
      </c>
      <c r="Q263" s="11">
        <f t="shared" si="24"/>
        <v>0</v>
      </c>
    </row>
    <row r="264" spans="13:17" x14ac:dyDescent="0.3">
      <c r="M264" s="11">
        <f t="shared" si="23"/>
        <v>0</v>
      </c>
      <c r="O264" s="11">
        <f t="shared" si="25"/>
        <v>0</v>
      </c>
      <c r="Q264" s="11">
        <f t="shared" si="24"/>
        <v>0</v>
      </c>
    </row>
    <row r="265" spans="13:17" x14ac:dyDescent="0.3">
      <c r="M265" s="11">
        <f t="shared" si="23"/>
        <v>0</v>
      </c>
      <c r="O265" s="11">
        <f t="shared" si="25"/>
        <v>0</v>
      </c>
      <c r="Q265" s="11">
        <f t="shared" si="24"/>
        <v>0</v>
      </c>
    </row>
    <row r="266" spans="13:17" x14ac:dyDescent="0.3">
      <c r="M266" s="11">
        <f t="shared" si="23"/>
        <v>0</v>
      </c>
      <c r="O266" s="11">
        <f t="shared" si="25"/>
        <v>0</v>
      </c>
      <c r="Q266" s="11">
        <f t="shared" si="24"/>
        <v>0</v>
      </c>
    </row>
    <row r="267" spans="13:17" x14ac:dyDescent="0.3">
      <c r="M267" s="11">
        <f t="shared" si="23"/>
        <v>0</v>
      </c>
      <c r="O267" s="11">
        <f t="shared" si="25"/>
        <v>0</v>
      </c>
      <c r="Q267" s="11">
        <f t="shared" si="24"/>
        <v>0</v>
      </c>
    </row>
    <row r="268" spans="13:17" x14ac:dyDescent="0.3">
      <c r="M268" s="11">
        <f t="shared" ref="M268:M286" si="26">K268*30%</f>
        <v>0</v>
      </c>
      <c r="O268" s="11">
        <f t="shared" si="25"/>
        <v>0</v>
      </c>
      <c r="Q268" s="11">
        <f t="shared" ref="Q268:Q286" si="27">O268*10%</f>
        <v>0</v>
      </c>
    </row>
    <row r="269" spans="13:17" x14ac:dyDescent="0.3">
      <c r="M269" s="11">
        <f t="shared" si="26"/>
        <v>0</v>
      </c>
      <c r="O269" s="11">
        <f t="shared" si="25"/>
        <v>0</v>
      </c>
      <c r="Q269" s="11">
        <f t="shared" si="27"/>
        <v>0</v>
      </c>
    </row>
    <row r="270" spans="13:17" x14ac:dyDescent="0.3">
      <c r="M270" s="11">
        <f t="shared" si="26"/>
        <v>0</v>
      </c>
      <c r="O270" s="11">
        <f t="shared" si="25"/>
        <v>0</v>
      </c>
      <c r="Q270" s="11">
        <f t="shared" si="27"/>
        <v>0</v>
      </c>
    </row>
    <row r="271" spans="13:17" x14ac:dyDescent="0.3">
      <c r="M271" s="11">
        <f t="shared" si="26"/>
        <v>0</v>
      </c>
      <c r="O271" s="11">
        <f t="shared" si="25"/>
        <v>0</v>
      </c>
      <c r="Q271" s="11">
        <f t="shared" si="27"/>
        <v>0</v>
      </c>
    </row>
    <row r="272" spans="13:17" x14ac:dyDescent="0.3">
      <c r="M272" s="11">
        <f t="shared" si="26"/>
        <v>0</v>
      </c>
      <c r="O272" s="11">
        <f t="shared" si="25"/>
        <v>0</v>
      </c>
      <c r="Q272" s="11">
        <f t="shared" si="27"/>
        <v>0</v>
      </c>
    </row>
    <row r="273" spans="13:17" x14ac:dyDescent="0.3">
      <c r="M273" s="11">
        <f t="shared" si="26"/>
        <v>0</v>
      </c>
      <c r="O273" s="11">
        <f t="shared" ref="O273:O286" si="28">K273*10%</f>
        <v>0</v>
      </c>
      <c r="Q273" s="11">
        <f t="shared" si="27"/>
        <v>0</v>
      </c>
    </row>
    <row r="274" spans="13:17" x14ac:dyDescent="0.3">
      <c r="M274" s="11">
        <f t="shared" si="26"/>
        <v>0</v>
      </c>
      <c r="O274" s="11">
        <f t="shared" si="28"/>
        <v>0</v>
      </c>
      <c r="Q274" s="11">
        <f t="shared" si="27"/>
        <v>0</v>
      </c>
    </row>
    <row r="275" spans="13:17" x14ac:dyDescent="0.3">
      <c r="M275" s="11">
        <f t="shared" si="26"/>
        <v>0</v>
      </c>
      <c r="O275" s="11">
        <f t="shared" si="28"/>
        <v>0</v>
      </c>
      <c r="Q275" s="11">
        <f t="shared" si="27"/>
        <v>0</v>
      </c>
    </row>
    <row r="276" spans="13:17" x14ac:dyDescent="0.3">
      <c r="M276" s="11">
        <f t="shared" si="26"/>
        <v>0</v>
      </c>
      <c r="O276" s="11">
        <f t="shared" si="28"/>
        <v>0</v>
      </c>
      <c r="Q276" s="11">
        <f t="shared" si="27"/>
        <v>0</v>
      </c>
    </row>
    <row r="277" spans="13:17" x14ac:dyDescent="0.3">
      <c r="M277" s="11">
        <f t="shared" si="26"/>
        <v>0</v>
      </c>
      <c r="O277" s="11">
        <f t="shared" si="28"/>
        <v>0</v>
      </c>
      <c r="Q277" s="11">
        <f t="shared" si="27"/>
        <v>0</v>
      </c>
    </row>
    <row r="278" spans="13:17" x14ac:dyDescent="0.3">
      <c r="M278" s="11">
        <f t="shared" si="26"/>
        <v>0</v>
      </c>
      <c r="O278" s="11">
        <f t="shared" si="28"/>
        <v>0</v>
      </c>
      <c r="Q278" s="11">
        <f t="shared" si="27"/>
        <v>0</v>
      </c>
    </row>
    <row r="279" spans="13:17" x14ac:dyDescent="0.3">
      <c r="M279" s="11">
        <f t="shared" si="26"/>
        <v>0</v>
      </c>
      <c r="O279" s="11">
        <f t="shared" si="28"/>
        <v>0</v>
      </c>
      <c r="Q279" s="11">
        <f t="shared" si="27"/>
        <v>0</v>
      </c>
    </row>
    <row r="280" spans="13:17" x14ac:dyDescent="0.3">
      <c r="M280" s="11">
        <f t="shared" si="26"/>
        <v>0</v>
      </c>
      <c r="O280" s="11">
        <f t="shared" si="28"/>
        <v>0</v>
      </c>
      <c r="Q280" s="11">
        <f t="shared" si="27"/>
        <v>0</v>
      </c>
    </row>
    <row r="281" spans="13:17" x14ac:dyDescent="0.3">
      <c r="M281" s="11">
        <f t="shared" si="26"/>
        <v>0</v>
      </c>
      <c r="O281" s="11">
        <f t="shared" si="28"/>
        <v>0</v>
      </c>
      <c r="Q281" s="11">
        <f t="shared" si="27"/>
        <v>0</v>
      </c>
    </row>
    <row r="282" spans="13:17" x14ac:dyDescent="0.3">
      <c r="M282" s="11">
        <f t="shared" si="26"/>
        <v>0</v>
      </c>
      <c r="O282" s="11">
        <f t="shared" si="28"/>
        <v>0</v>
      </c>
      <c r="Q282" s="11">
        <f t="shared" si="27"/>
        <v>0</v>
      </c>
    </row>
    <row r="283" spans="13:17" x14ac:dyDescent="0.3">
      <c r="M283" s="11">
        <f t="shared" si="26"/>
        <v>0</v>
      </c>
      <c r="O283" s="11">
        <f t="shared" si="28"/>
        <v>0</v>
      </c>
      <c r="Q283" s="11">
        <f t="shared" si="27"/>
        <v>0</v>
      </c>
    </row>
    <row r="284" spans="13:17" x14ac:dyDescent="0.3">
      <c r="M284" s="11">
        <f t="shared" si="26"/>
        <v>0</v>
      </c>
      <c r="O284" s="11">
        <f t="shared" si="28"/>
        <v>0</v>
      </c>
      <c r="Q284" s="11">
        <f t="shared" si="27"/>
        <v>0</v>
      </c>
    </row>
    <row r="285" spans="13:17" x14ac:dyDescent="0.3">
      <c r="M285" s="11">
        <f t="shared" si="26"/>
        <v>0</v>
      </c>
      <c r="O285" s="11">
        <f t="shared" si="28"/>
        <v>0</v>
      </c>
      <c r="Q285" s="11">
        <f t="shared" si="27"/>
        <v>0</v>
      </c>
    </row>
    <row r="286" spans="13:17" x14ac:dyDescent="0.3">
      <c r="M286" s="11">
        <f t="shared" si="26"/>
        <v>0</v>
      </c>
      <c r="O286" s="11">
        <f t="shared" si="28"/>
        <v>0</v>
      </c>
      <c r="Q286" s="11">
        <f t="shared" si="27"/>
        <v>0</v>
      </c>
    </row>
  </sheetData>
  <sheetProtection selectLockedCells="1"/>
  <autoFilter ref="A5:I17" xr:uid="{00000000-0009-0000-0000-000000000000}">
    <sortState ref="A6:I17">
      <sortCondition ref="C5:C17"/>
    </sortState>
  </autoFilter>
  <mergeCells count="13">
    <mergeCell ref="Q13:Q14"/>
    <mergeCell ref="W13:W14"/>
    <mergeCell ref="K13:K14"/>
    <mergeCell ref="M13:M14"/>
    <mergeCell ref="K6:L6"/>
    <mergeCell ref="M6:N6"/>
    <mergeCell ref="O6:P6"/>
    <mergeCell ref="Q6:R6"/>
    <mergeCell ref="D13:D14"/>
    <mergeCell ref="E13:E14"/>
    <mergeCell ref="F13:F14"/>
    <mergeCell ref="J13:J14"/>
    <mergeCell ref="O13:O14"/>
  </mergeCells>
  <conditionalFormatting sqref="A6:I6">
    <cfRule type="cellIs" dxfId="3" priority="5" operator="greaterThan">
      <formula>0</formula>
    </cfRule>
  </conditionalFormatting>
  <conditionalFormatting sqref="A1:W5 S6:W6 A7:W1048576">
    <cfRule type="cellIs" dxfId="2" priority="4" operator="greaterThan">
      <formula>0</formula>
    </cfRule>
  </conditionalFormatting>
  <conditionalFormatting sqref="J1:J5 J7:J1048576">
    <cfRule type="colorScale" priority="3">
      <colorScale>
        <cfvo type="min"/>
        <cfvo type="percentile" val="50"/>
        <cfvo type="max"/>
        <color rgb="FFF8696B"/>
        <color rgb="FFFFEB84"/>
        <color rgb="FF63BE7B"/>
      </colorScale>
    </cfRule>
  </conditionalFormatting>
  <conditionalFormatting sqref="K5:L5 K7:L13 K15:L1048576">
    <cfRule type="cellIs" dxfId="1" priority="7" operator="greaterThan">
      <formula>0</formula>
    </cfRule>
  </conditionalFormatting>
  <conditionalFormatting sqref="M1:R5 M7:R13 M15:R1048576">
    <cfRule type="cellIs" dxfId="0" priority="6" operator="equal">
      <formula>0</formula>
    </cfRule>
  </conditionalFormatting>
  <conditionalFormatting sqref="K22">
    <cfRule type="colorScale" priority="2">
      <colorScale>
        <cfvo type="min"/>
        <cfvo type="percentile" val="50"/>
        <cfvo type="max"/>
        <color rgb="FFF8696B"/>
        <color rgb="FFFFEB84"/>
        <color rgb="FF63BE7B"/>
      </colorScale>
    </cfRule>
  </conditionalFormatting>
  <conditionalFormatting sqref="K7:K22">
    <cfRule type="colorScale" priority="1">
      <colorScale>
        <cfvo type="min"/>
        <cfvo type="percentile" val="50"/>
        <cfvo type="max"/>
        <color rgb="FFF8696B"/>
        <color rgb="FFFFEB84"/>
        <color rgb="FF63BE7B"/>
      </colorScale>
    </cfRule>
  </conditionalFormatting>
  <pageMargins left="0.75" right="0.75" top="1" bottom="1" header="0.5" footer="0.5"/>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Catálogo de Obras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2026-06-15T09:18:13Z</dcterms:created>
  <dcterms:modified xsi:type="dcterms:W3CDTF">2026-08-25T23:38:47Z</dcterms:modified>
</cp:coreProperties>
</file>